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an123\Documents\OneDrive\바탕 화면\출근부6주\"/>
    </mc:Choice>
  </mc:AlternateContent>
  <xr:revisionPtr revIDLastSave="0" documentId="8_{FAFE8770-D624-4A5E-9598-3B82991F5C14}" xr6:coauthVersionLast="47" xr6:coauthVersionMax="47" xr10:uidLastSave="{00000000-0000-0000-0000-000000000000}"/>
  <bookViews>
    <workbookView xWindow="-108" yWindow="-108" windowWidth="23256" windowHeight="12456" tabRatio="952" firstSheet="1" activeTab="2" xr2:uid="{00000000-000D-0000-FFFF-FFFF00000000}"/>
  </bookViews>
  <sheets>
    <sheet name="초기작업4주(수동)" sheetId="55" state="hidden" r:id="rId1"/>
    <sheet name="휴무알조사" sheetId="50" r:id="rId2"/>
    <sheet name="초기작업6주용(수동)" sheetId="49" r:id="rId3"/>
    <sheet name="월총근무일과시간" sheetId="44" r:id="rId4"/>
    <sheet name="조편성" sheetId="54" r:id="rId5"/>
    <sheet name="휴무일추천" sheetId="63" state="hidden" r:id="rId6"/>
    <sheet name="휴무요일과특정일휴무" sheetId="51" r:id="rId7"/>
    <sheet name="4주용" sheetId="64" state="hidden" r:id="rId8"/>
    <sheet name="월근무표기초" sheetId="48" state="hidden" r:id="rId9"/>
    <sheet name="월근무표6주용" sheetId="62" r:id="rId10"/>
    <sheet name="이름기초" sheetId="61" r:id="rId11"/>
  </sheets>
  <definedNames>
    <definedName name="성명">이름기초!$B$11:$B$19</definedName>
    <definedName name="요일">이름기초!$B$1:$B$7</definedName>
    <definedName name="월차처리">조편성!$C$55:$C$63</definedName>
    <definedName name="이름">'초기작업6주용(수동)'!$C$47:$C$55</definedName>
    <definedName name="조편성">이름기초!$B$21:$B$23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62" l="1"/>
  <c r="C35" i="62"/>
  <c r="D35" i="62"/>
  <c r="E35" i="62"/>
  <c r="F35" i="62"/>
  <c r="G35" i="62"/>
  <c r="H35" i="62"/>
  <c r="B36" i="62"/>
  <c r="C36" i="62"/>
  <c r="D36" i="62"/>
  <c r="E36" i="62"/>
  <c r="F36" i="62"/>
  <c r="G36" i="62"/>
  <c r="H36" i="62"/>
  <c r="B37" i="62"/>
  <c r="C37" i="62"/>
  <c r="D37" i="62"/>
  <c r="E37" i="62"/>
  <c r="F37" i="62"/>
  <c r="G37" i="62"/>
  <c r="H37" i="62"/>
  <c r="B38" i="62"/>
  <c r="C38" i="62"/>
  <c r="D38" i="62"/>
  <c r="E38" i="62"/>
  <c r="F38" i="62"/>
  <c r="G38" i="62"/>
  <c r="H38" i="62"/>
  <c r="B39" i="62"/>
  <c r="C39" i="62"/>
  <c r="D39" i="62"/>
  <c r="E39" i="62"/>
  <c r="F39" i="62"/>
  <c r="G39" i="62"/>
  <c r="H39" i="62"/>
  <c r="B29" i="62"/>
  <c r="C29" i="62"/>
  <c r="D29" i="62"/>
  <c r="E29" i="62"/>
  <c r="F29" i="62"/>
  <c r="G29" i="62"/>
  <c r="H29" i="62"/>
  <c r="B30" i="62"/>
  <c r="C30" i="62"/>
  <c r="D30" i="62"/>
  <c r="E30" i="62"/>
  <c r="F30" i="62"/>
  <c r="G30" i="62"/>
  <c r="H30" i="62"/>
  <c r="B31" i="62"/>
  <c r="C31" i="62"/>
  <c r="D31" i="62"/>
  <c r="E31" i="62"/>
  <c r="F31" i="62"/>
  <c r="G31" i="62"/>
  <c r="H31" i="62"/>
  <c r="B32" i="62"/>
  <c r="C32" i="62"/>
  <c r="D32" i="62"/>
  <c r="E32" i="62"/>
  <c r="F32" i="62"/>
  <c r="G32" i="62"/>
  <c r="H32" i="62"/>
  <c r="B33" i="62"/>
  <c r="C33" i="62"/>
  <c r="D33" i="62"/>
  <c r="E33" i="62"/>
  <c r="F33" i="62"/>
  <c r="G33" i="62"/>
  <c r="H33" i="62"/>
  <c r="B23" i="62"/>
  <c r="C23" i="62"/>
  <c r="D23" i="62"/>
  <c r="E23" i="62"/>
  <c r="F23" i="62"/>
  <c r="G23" i="62"/>
  <c r="H23" i="62"/>
  <c r="B24" i="62"/>
  <c r="C24" i="62"/>
  <c r="D24" i="62"/>
  <c r="E24" i="62"/>
  <c r="F24" i="62"/>
  <c r="G24" i="62"/>
  <c r="H24" i="62"/>
  <c r="B25" i="62"/>
  <c r="C25" i="62"/>
  <c r="D25" i="62"/>
  <c r="E25" i="62"/>
  <c r="F25" i="62"/>
  <c r="G25" i="62"/>
  <c r="H25" i="62"/>
  <c r="B26" i="62"/>
  <c r="C26" i="62"/>
  <c r="D26" i="62"/>
  <c r="E26" i="62"/>
  <c r="F26" i="62"/>
  <c r="G26" i="62"/>
  <c r="H26" i="62"/>
  <c r="B27" i="62"/>
  <c r="C27" i="62"/>
  <c r="D27" i="62"/>
  <c r="E27" i="62"/>
  <c r="F27" i="62"/>
  <c r="G27" i="62"/>
  <c r="H27" i="62"/>
  <c r="B11" i="62"/>
  <c r="C11" i="62"/>
  <c r="D11" i="62"/>
  <c r="E11" i="62"/>
  <c r="F11" i="62"/>
  <c r="G11" i="62"/>
  <c r="H11" i="62"/>
  <c r="B12" i="62"/>
  <c r="C12" i="62"/>
  <c r="D12" i="62"/>
  <c r="E12" i="62"/>
  <c r="F12" i="62"/>
  <c r="G12" i="62"/>
  <c r="H12" i="62"/>
  <c r="B13" i="62"/>
  <c r="C13" i="62"/>
  <c r="D13" i="62"/>
  <c r="E13" i="62"/>
  <c r="F13" i="62"/>
  <c r="G13" i="62"/>
  <c r="H13" i="62"/>
  <c r="B14" i="62"/>
  <c r="C14" i="62"/>
  <c r="D14" i="62"/>
  <c r="E14" i="62"/>
  <c r="F14" i="62"/>
  <c r="G14" i="62"/>
  <c r="H14" i="62"/>
  <c r="B15" i="62"/>
  <c r="C15" i="62"/>
  <c r="D15" i="62"/>
  <c r="E15" i="62"/>
  <c r="F15" i="62"/>
  <c r="G15" i="62"/>
  <c r="H15" i="62"/>
  <c r="D13" i="54"/>
  <c r="D2" i="54"/>
  <c r="E55" i="54" l="1" a="1"/>
  <c r="E55" i="54" s="1"/>
  <c r="K3" i="51" l="1"/>
  <c r="K51" i="54"/>
  <c r="K52" i="54"/>
  <c r="A96" i="54"/>
  <c r="A95" i="54"/>
  <c r="A94" i="54"/>
  <c r="A93" i="54"/>
  <c r="A92" i="54"/>
  <c r="A91" i="54"/>
  <c r="A90" i="54"/>
  <c r="B63" i="54"/>
  <c r="B62" i="54"/>
  <c r="B61" i="54"/>
  <c r="B60" i="54"/>
  <c r="B59" i="54"/>
  <c r="B58" i="54"/>
  <c r="B57" i="54"/>
  <c r="B56" i="54"/>
  <c r="B55" i="54"/>
  <c r="A83" i="54"/>
  <c r="A80" i="54"/>
  <c r="A89" i="54"/>
  <c r="A88" i="54"/>
  <c r="D11" i="64"/>
  <c r="A11" i="64"/>
  <c r="A10" i="64"/>
  <c r="D10" i="64" s="1"/>
  <c r="A9" i="64"/>
  <c r="A8" i="64"/>
  <c r="A7" i="64"/>
  <c r="D7" i="64" s="1"/>
  <c r="A6" i="64"/>
  <c r="D5" i="64"/>
  <c r="A5" i="64"/>
  <c r="A4" i="64"/>
  <c r="D4" i="64" s="1"/>
  <c r="A3" i="64"/>
  <c r="B74" i="51"/>
  <c r="B73" i="51"/>
  <c r="B72" i="51"/>
  <c r="B71" i="51"/>
  <c r="B70" i="51"/>
  <c r="B69" i="51"/>
  <c r="B68" i="51"/>
  <c r="B67" i="51"/>
  <c r="B66" i="51"/>
  <c r="B61" i="51"/>
  <c r="B60" i="51"/>
  <c r="B59" i="51"/>
  <c r="B58" i="51"/>
  <c r="B57" i="51"/>
  <c r="B56" i="51"/>
  <c r="B55" i="51"/>
  <c r="B54" i="51"/>
  <c r="B53" i="51"/>
  <c r="A68" i="54"/>
  <c r="A69" i="54"/>
  <c r="A70" i="54"/>
  <c r="A71" i="54"/>
  <c r="A72" i="54"/>
  <c r="A73" i="54"/>
  <c r="A74" i="54"/>
  <c r="A75" i="54"/>
  <c r="A76" i="54"/>
  <c r="D23" i="61"/>
  <c r="C23" i="61"/>
  <c r="F22" i="61"/>
  <c r="E22" i="61"/>
  <c r="D22" i="61"/>
  <c r="C22" i="61"/>
  <c r="E21" i="61"/>
  <c r="D21" i="61"/>
  <c r="C21" i="61"/>
  <c r="D109" i="51"/>
  <c r="E109" i="51" s="1" a="1"/>
  <c r="E109" i="51" s="1"/>
  <c r="D108" i="51"/>
  <c r="D107" i="51"/>
  <c r="E107" i="51" s="1" a="1"/>
  <c r="E107" i="51" s="1"/>
  <c r="D106" i="51"/>
  <c r="E106" i="51" s="1" a="1"/>
  <c r="E106" i="51" s="1"/>
  <c r="F106" i="51" s="1"/>
  <c r="G106" i="51" s="1"/>
  <c r="D105" i="51"/>
  <c r="D104" i="51"/>
  <c r="E104" i="51" s="1" a="1"/>
  <c r="E104" i="51" s="1"/>
  <c r="F104" i="51" s="1"/>
  <c r="D103" i="51"/>
  <c r="E103" i="51" s="1" a="1"/>
  <c r="E103" i="51" s="1"/>
  <c r="F103" i="51" s="1"/>
  <c r="H103" i="51" s="1"/>
  <c r="D102" i="51"/>
  <c r="E102" i="51" s="1" a="1"/>
  <c r="E102" i="51" s="1"/>
  <c r="D101" i="51"/>
  <c r="E101" i="51" s="1" a="1"/>
  <c r="E101" i="51" s="1"/>
  <c r="F101" i="51" s="1"/>
  <c r="G101" i="51" s="1"/>
  <c r="E108" i="51" a="1"/>
  <c r="E108" i="51" s="1"/>
  <c r="F108" i="51" s="1"/>
  <c r="D96" i="51"/>
  <c r="D95" i="51"/>
  <c r="D94" i="51"/>
  <c r="D93" i="51"/>
  <c r="D92" i="51"/>
  <c r="D91" i="51"/>
  <c r="D90" i="51"/>
  <c r="D26" i="51"/>
  <c r="D27" i="51"/>
  <c r="D28" i="51"/>
  <c r="L17" i="51"/>
  <c r="K17" i="51"/>
  <c r="J17" i="51"/>
  <c r="I17" i="51"/>
  <c r="H17" i="51"/>
  <c r="G17" i="51"/>
  <c r="F17" i="51"/>
  <c r="E17" i="51"/>
  <c r="D17" i="51"/>
  <c r="A2" i="63"/>
  <c r="D2" i="63" s="1"/>
  <c r="D55" i="49"/>
  <c r="D54" i="49"/>
  <c r="D53" i="49"/>
  <c r="D52" i="49"/>
  <c r="D51" i="49"/>
  <c r="D50" i="49"/>
  <c r="D49" i="49"/>
  <c r="D48" i="49"/>
  <c r="D47" i="49"/>
  <c r="I52" i="49"/>
  <c r="D46" i="49"/>
  <c r="C78" i="51"/>
  <c r="C79" i="51"/>
  <c r="C80" i="51"/>
  <c r="F80" i="51" s="1"/>
  <c r="C81" i="51"/>
  <c r="C82" i="51"/>
  <c r="C83" i="51"/>
  <c r="C84" i="51"/>
  <c r="C85" i="51"/>
  <c r="C86" i="51"/>
  <c r="H2" i="62"/>
  <c r="G2" i="62"/>
  <c r="C11" i="54"/>
  <c r="C10" i="54"/>
  <c r="C9" i="54"/>
  <c r="C8" i="54"/>
  <c r="C6" i="54"/>
  <c r="C5" i="54"/>
  <c r="C4" i="54"/>
  <c r="C3" i="54"/>
  <c r="L3" i="51"/>
  <c r="J3" i="51"/>
  <c r="I3" i="51"/>
  <c r="H3" i="51"/>
  <c r="G3" i="51"/>
  <c r="F3" i="51"/>
  <c r="E3" i="51"/>
  <c r="D3" i="51"/>
  <c r="D34" i="51"/>
  <c r="D33" i="51"/>
  <c r="D32" i="51"/>
  <c r="D31" i="51"/>
  <c r="D30" i="51"/>
  <c r="D29" i="51"/>
  <c r="D52" i="55"/>
  <c r="D51" i="55"/>
  <c r="D50" i="55"/>
  <c r="D49" i="55"/>
  <c r="D48" i="55"/>
  <c r="D47" i="55"/>
  <c r="D46" i="55"/>
  <c r="D45" i="55"/>
  <c r="D44" i="55"/>
  <c r="C7" i="54"/>
  <c r="D48" i="51"/>
  <c r="D47" i="51"/>
  <c r="D46" i="51"/>
  <c r="D45" i="51"/>
  <c r="D44" i="51"/>
  <c r="D43" i="51"/>
  <c r="D42" i="51"/>
  <c r="D41" i="51"/>
  <c r="D40" i="51"/>
  <c r="E105" i="51" l="1" a="1"/>
  <c r="E105" i="51" s="1"/>
  <c r="F105" i="51" s="1"/>
  <c r="B4" i="62"/>
  <c r="B10" i="62" s="1"/>
  <c r="E2" i="63"/>
  <c r="H104" i="51"/>
  <c r="I104" i="51" s="1"/>
  <c r="J29" i="51" s="1"/>
  <c r="D69" i="51" s="1"/>
  <c r="G104" i="51"/>
  <c r="I29" i="51" s="1"/>
  <c r="G108" i="51"/>
  <c r="I33" i="51" s="1"/>
  <c r="C73" i="51" s="1"/>
  <c r="H108" i="51"/>
  <c r="I108" i="51" s="1"/>
  <c r="J33" i="51" s="1"/>
  <c r="D73" i="51" s="1"/>
  <c r="G103" i="51"/>
  <c r="I28" i="51" s="1"/>
  <c r="C68" i="51" s="1"/>
  <c r="H101" i="51"/>
  <c r="I101" i="51" s="1"/>
  <c r="J26" i="51" s="1"/>
  <c r="D66" i="51" s="1"/>
  <c r="H106" i="51"/>
  <c r="I106" i="51" s="1"/>
  <c r="J31" i="51" s="1"/>
  <c r="D71" i="51" s="1"/>
  <c r="I31" i="51"/>
  <c r="C71" i="51" s="1"/>
  <c r="I103" i="51"/>
  <c r="J28" i="51" s="1"/>
  <c r="D68" i="51" s="1"/>
  <c r="F102" i="51"/>
  <c r="F107" i="51"/>
  <c r="F109" i="51"/>
  <c r="C66" i="51"/>
  <c r="B2" i="63"/>
  <c r="H2" i="63"/>
  <c r="J2" i="63"/>
  <c r="A3" i="63"/>
  <c r="E3" i="63" s="1"/>
  <c r="G2" i="63"/>
  <c r="I2" i="63"/>
  <c r="F2" i="63"/>
  <c r="I53" i="49"/>
  <c r="C69" i="51" l="1"/>
  <c r="C4" i="62"/>
  <c r="H107" i="51"/>
  <c r="I107" i="51" s="1"/>
  <c r="J32" i="51" s="1"/>
  <c r="D72" i="51" s="1"/>
  <c r="G107" i="51"/>
  <c r="I32" i="51" s="1"/>
  <c r="C72" i="51" s="1"/>
  <c r="H102" i="51"/>
  <c r="I102" i="51" s="1"/>
  <c r="J27" i="51" s="1"/>
  <c r="D67" i="51" s="1"/>
  <c r="G102" i="51"/>
  <c r="I27" i="51" s="1"/>
  <c r="C67" i="51" s="1"/>
  <c r="H109" i="51"/>
  <c r="I109" i="51" s="1"/>
  <c r="J34" i="51" s="1"/>
  <c r="D74" i="51" s="1"/>
  <c r="G109" i="51"/>
  <c r="I34" i="51" s="1"/>
  <c r="H105" i="51"/>
  <c r="I105" i="51" s="1"/>
  <c r="J30" i="51" s="1"/>
  <c r="D70" i="51" s="1"/>
  <c r="G105" i="51"/>
  <c r="I30" i="51" s="1"/>
  <c r="C70" i="51" s="1"/>
  <c r="A4" i="63"/>
  <c r="E4" i="63" s="1"/>
  <c r="J3" i="63"/>
  <c r="H3" i="63"/>
  <c r="F3" i="63"/>
  <c r="B3" i="63"/>
  <c r="I3" i="63"/>
  <c r="G3" i="63"/>
  <c r="D3" i="63"/>
  <c r="G56" i="49"/>
  <c r="F56" i="49"/>
  <c r="H56" i="49" s="1"/>
  <c r="D4" i="62"/>
  <c r="C10" i="62"/>
  <c r="B16" i="62"/>
  <c r="E22" i="50"/>
  <c r="G22" i="50" s="1"/>
  <c r="I22" i="50" s="1"/>
  <c r="K22" i="50" s="1"/>
  <c r="M22" i="50" s="1"/>
  <c r="O22" i="50" s="1"/>
  <c r="C22" i="50"/>
  <c r="C16" i="50"/>
  <c r="E16" i="50" s="1"/>
  <c r="G16" i="50" s="1"/>
  <c r="I16" i="50" s="1"/>
  <c r="K16" i="50" s="1"/>
  <c r="M16" i="50" s="1"/>
  <c r="O16" i="50" s="1"/>
  <c r="I10" i="50"/>
  <c r="K10" i="50" s="1"/>
  <c r="M10" i="50" s="1"/>
  <c r="O10" i="50" s="1"/>
  <c r="G10" i="50"/>
  <c r="E47" i="51" a="1"/>
  <c r="F47" i="51" s="1"/>
  <c r="E46" i="51" a="1"/>
  <c r="E46" i="51" s="1"/>
  <c r="E45" i="51" a="1"/>
  <c r="E45" i="51" s="1"/>
  <c r="E44" i="51" a="1"/>
  <c r="L44" i="51" s="1"/>
  <c r="E43" i="51" a="1"/>
  <c r="H43" i="51" s="1"/>
  <c r="E42" i="51" a="1"/>
  <c r="H42" i="51" s="1"/>
  <c r="E41" i="51" a="1"/>
  <c r="E41" i="51" s="1"/>
  <c r="E40" i="51" a="1"/>
  <c r="E40" i="51" s="1"/>
  <c r="H2" i="51"/>
  <c r="F2" i="51"/>
  <c r="H2" i="48"/>
  <c r="G2" i="48"/>
  <c r="F5" i="44"/>
  <c r="F6" i="44" s="1"/>
  <c r="E13" i="44" s="1"/>
  <c r="I49" i="55"/>
  <c r="D43" i="55"/>
  <c r="B10" i="55"/>
  <c r="B16" i="55" s="1"/>
  <c r="C4" i="55"/>
  <c r="D4" i="55" s="1"/>
  <c r="E4" i="55" s="1"/>
  <c r="F4" i="55" s="1"/>
  <c r="G4" i="55" s="1"/>
  <c r="H4" i="55" s="1"/>
  <c r="B4" i="55"/>
  <c r="C18" i="54"/>
  <c r="B27" i="50" s="1"/>
  <c r="C17" i="54"/>
  <c r="B32" i="50" s="1"/>
  <c r="C16" i="54"/>
  <c r="B25" i="50" s="1"/>
  <c r="C15" i="54"/>
  <c r="B30" i="50" s="1"/>
  <c r="C14" i="54"/>
  <c r="B23" i="50" s="1"/>
  <c r="C4" i="50"/>
  <c r="E4" i="50" s="1"/>
  <c r="G4" i="50" s="1"/>
  <c r="I4" i="50" s="1"/>
  <c r="K4" i="50" s="1"/>
  <c r="M4" i="50" s="1"/>
  <c r="O4" i="50" s="1"/>
  <c r="B4" i="49"/>
  <c r="C74" i="51" l="1"/>
  <c r="C61" i="51" s="1" a="1"/>
  <c r="C61" i="51" s="1"/>
  <c r="E63" i="54" a="1"/>
  <c r="E63" i="54" s="1"/>
  <c r="E2" i="54"/>
  <c r="F2" i="54" s="1"/>
  <c r="A5" i="63"/>
  <c r="E5" i="63" s="1"/>
  <c r="J4" i="63"/>
  <c r="H4" i="63"/>
  <c r="F4" i="63"/>
  <c r="I4" i="63"/>
  <c r="G4" i="63"/>
  <c r="D4" i="63"/>
  <c r="B4" i="63"/>
  <c r="B10" i="49"/>
  <c r="C10" i="49" s="1"/>
  <c r="D10" i="49" s="1"/>
  <c r="E10" i="49" s="1"/>
  <c r="F10" i="49" s="1"/>
  <c r="G10" i="49" s="1"/>
  <c r="H10" i="49" s="1"/>
  <c r="I56" i="49"/>
  <c r="C16" i="62"/>
  <c r="B22" i="62"/>
  <c r="D10" i="62"/>
  <c r="E4" i="62"/>
  <c r="L42" i="51"/>
  <c r="P42" i="51"/>
  <c r="B14" i="50"/>
  <c r="B26" i="50"/>
  <c r="B12" i="50"/>
  <c r="B24" i="50"/>
  <c r="B5" i="50"/>
  <c r="B7" i="50"/>
  <c r="B9" i="50"/>
  <c r="B17" i="50"/>
  <c r="B19" i="50"/>
  <c r="B21" i="50"/>
  <c r="B29" i="50"/>
  <c r="B31" i="50"/>
  <c r="B33" i="50"/>
  <c r="B6" i="50"/>
  <c r="B8" i="50"/>
  <c r="B11" i="50"/>
  <c r="B13" i="50"/>
  <c r="B15" i="50"/>
  <c r="B18" i="50"/>
  <c r="B20" i="50"/>
  <c r="C10" i="50"/>
  <c r="L47" i="51"/>
  <c r="P47" i="51"/>
  <c r="H47" i="51"/>
  <c r="N47" i="51"/>
  <c r="J47" i="51"/>
  <c r="P44" i="51"/>
  <c r="H44" i="51"/>
  <c r="N43" i="51"/>
  <c r="J43" i="51"/>
  <c r="F43" i="51"/>
  <c r="P43" i="51"/>
  <c r="L43" i="51"/>
  <c r="E42" i="51"/>
  <c r="G42" i="51"/>
  <c r="I42" i="51"/>
  <c r="K42" i="51"/>
  <c r="M42" i="51"/>
  <c r="O42" i="51"/>
  <c r="Q42" i="51"/>
  <c r="E44" i="51"/>
  <c r="G44" i="51"/>
  <c r="I44" i="51"/>
  <c r="K44" i="51"/>
  <c r="M44" i="51"/>
  <c r="O44" i="51"/>
  <c r="Q44" i="51"/>
  <c r="N42" i="51"/>
  <c r="J42" i="51"/>
  <c r="F42" i="51"/>
  <c r="E43" i="51"/>
  <c r="G43" i="51"/>
  <c r="I43" i="51"/>
  <c r="K43" i="51"/>
  <c r="M43" i="51"/>
  <c r="O43" i="51"/>
  <c r="Q43" i="51"/>
  <c r="N44" i="51"/>
  <c r="J44" i="51"/>
  <c r="F44" i="51"/>
  <c r="E47" i="51"/>
  <c r="G47" i="51"/>
  <c r="I47" i="51"/>
  <c r="K47" i="51"/>
  <c r="M47" i="51"/>
  <c r="O47" i="51"/>
  <c r="Q47" i="51"/>
  <c r="C51" i="51"/>
  <c r="B4" i="48"/>
  <c r="C52" i="51"/>
  <c r="D52" i="51" s="1"/>
  <c r="E52" i="51" s="1"/>
  <c r="F52" i="51" s="1"/>
  <c r="G52" i="51" s="1"/>
  <c r="H52" i="51" s="1"/>
  <c r="I52" i="51" s="1"/>
  <c r="J52" i="51" s="1"/>
  <c r="K52" i="51" s="1"/>
  <c r="L52" i="51" s="1"/>
  <c r="M52" i="51" s="1"/>
  <c r="N52" i="51" s="1"/>
  <c r="O52" i="51" s="1"/>
  <c r="P52" i="51" s="1"/>
  <c r="Q52" i="51" s="1"/>
  <c r="L40" i="51"/>
  <c r="P40" i="51"/>
  <c r="H40" i="51"/>
  <c r="N40" i="51"/>
  <c r="J40" i="51"/>
  <c r="F40" i="51"/>
  <c r="C53" i="51" s="1" a="1"/>
  <c r="C53" i="51" s="1"/>
  <c r="P46" i="51"/>
  <c r="N46" i="51"/>
  <c r="L46" i="51"/>
  <c r="J46" i="51"/>
  <c r="H46" i="51"/>
  <c r="F46" i="51"/>
  <c r="Q46" i="51"/>
  <c r="O46" i="51"/>
  <c r="M46" i="51"/>
  <c r="K46" i="51"/>
  <c r="I46" i="51"/>
  <c r="G46" i="51"/>
  <c r="P45" i="51"/>
  <c r="N45" i="51"/>
  <c r="L45" i="51"/>
  <c r="J45" i="51"/>
  <c r="H45" i="51"/>
  <c r="C58" i="51" s="1" a="1"/>
  <c r="C58" i="51" s="1"/>
  <c r="F45" i="51"/>
  <c r="Q45" i="51"/>
  <c r="O45" i="51"/>
  <c r="M45" i="51"/>
  <c r="K45" i="51"/>
  <c r="I45" i="51"/>
  <c r="G45" i="51"/>
  <c r="P41" i="51"/>
  <c r="N41" i="51"/>
  <c r="L41" i="51"/>
  <c r="J41" i="51"/>
  <c r="H41" i="51"/>
  <c r="F41" i="51"/>
  <c r="Q41" i="51"/>
  <c r="O41" i="51"/>
  <c r="M41" i="51"/>
  <c r="K41" i="51"/>
  <c r="I41" i="51"/>
  <c r="G41" i="51"/>
  <c r="Q40" i="51"/>
  <c r="O40" i="51"/>
  <c r="M40" i="51"/>
  <c r="K40" i="51"/>
  <c r="I40" i="51"/>
  <c r="G40" i="51"/>
  <c r="B22" i="55"/>
  <c r="C16" i="55"/>
  <c r="D16" i="55" s="1"/>
  <c r="E16" i="55" s="1"/>
  <c r="F16" i="55" s="1"/>
  <c r="G16" i="55" s="1"/>
  <c r="H16" i="55" s="1"/>
  <c r="C10" i="55"/>
  <c r="D10" i="55" s="1"/>
  <c r="E10" i="55" s="1"/>
  <c r="F10" i="55" s="1"/>
  <c r="G10" i="55" s="1"/>
  <c r="H10" i="55" s="1"/>
  <c r="I50" i="55"/>
  <c r="E10" i="50"/>
  <c r="B16" i="49"/>
  <c r="C4" i="49"/>
  <c r="D13" i="44"/>
  <c r="C59" i="51" l="1" a="1"/>
  <c r="C59" i="51" s="1"/>
  <c r="C57" i="51" a="1"/>
  <c r="C57" i="51" s="1"/>
  <c r="D7" i="54" s="1" a="1"/>
  <c r="D7" i="54" s="1"/>
  <c r="C56" i="51" a="1"/>
  <c r="C56" i="51" s="1"/>
  <c r="D6" i="54" s="1" a="1"/>
  <c r="D6" i="54" s="1"/>
  <c r="C54" i="51" a="1"/>
  <c r="C54" i="51" s="1"/>
  <c r="C60" i="51" a="1"/>
  <c r="C60" i="51" s="1"/>
  <c r="D10" i="54" s="1" a="1"/>
  <c r="D10" i="54" s="1"/>
  <c r="C55" i="51" a="1"/>
  <c r="C55" i="51" s="1"/>
  <c r="D5" i="54" s="1" a="1"/>
  <c r="D5" i="54" s="1"/>
  <c r="B10" i="48"/>
  <c r="C10" i="48" s="1"/>
  <c r="E13" i="54"/>
  <c r="D19" i="54" a="1"/>
  <c r="D19" i="54" s="1"/>
  <c r="E19" i="54" a="1"/>
  <c r="E19" i="54" s="1"/>
  <c r="E20" i="54" s="1"/>
  <c r="D18" i="54" a="1"/>
  <c r="D18" i="54" s="1"/>
  <c r="A6" i="63"/>
  <c r="E6" i="63" s="1"/>
  <c r="I5" i="63"/>
  <c r="G5" i="63"/>
  <c r="D5" i="63"/>
  <c r="H5" i="63"/>
  <c r="B5" i="63"/>
  <c r="J5" i="63"/>
  <c r="F5" i="63"/>
  <c r="I58" i="49"/>
  <c r="I60" i="49" s="1"/>
  <c r="J56" i="49"/>
  <c r="E10" i="62"/>
  <c r="D16" i="62"/>
  <c r="F4" i="62"/>
  <c r="C22" i="62"/>
  <c r="B28" i="62"/>
  <c r="B34" i="62" s="1"/>
  <c r="D4" i="49"/>
  <c r="D4" i="54" a="1"/>
  <c r="D4" i="54" s="1"/>
  <c r="D9" i="54" a="1"/>
  <c r="D9" i="54" s="1"/>
  <c r="D8" i="54" a="1"/>
  <c r="D8" i="54" s="1"/>
  <c r="C4" i="48"/>
  <c r="G2" i="54"/>
  <c r="R51" i="51"/>
  <c r="R52" i="51"/>
  <c r="S52" i="51" s="1"/>
  <c r="T52" i="51" s="1"/>
  <c r="U52" i="51" s="1"/>
  <c r="V52" i="51" s="1"/>
  <c r="W52" i="51" s="1"/>
  <c r="X52" i="51" s="1"/>
  <c r="Y52" i="51" s="1"/>
  <c r="Z52" i="51" s="1"/>
  <c r="AA52" i="51" s="1"/>
  <c r="AB52" i="51" s="1"/>
  <c r="AC52" i="51" s="1"/>
  <c r="AD52" i="51" s="1"/>
  <c r="AE52" i="51" s="1"/>
  <c r="AF52" i="51" s="1"/>
  <c r="AG52" i="51" s="1"/>
  <c r="D51" i="51"/>
  <c r="G53" i="55"/>
  <c r="F53" i="55"/>
  <c r="H53" i="55" s="1"/>
  <c r="B28" i="55"/>
  <c r="C28" i="55" s="1"/>
  <c r="D28" i="55" s="1"/>
  <c r="E28" i="55" s="1"/>
  <c r="F28" i="55" s="1"/>
  <c r="G28" i="55" s="1"/>
  <c r="H28" i="55" s="1"/>
  <c r="C22" i="55"/>
  <c r="D22" i="55" s="1"/>
  <c r="E22" i="55" s="1"/>
  <c r="F22" i="55" s="1"/>
  <c r="G22" i="55" s="1"/>
  <c r="H22" i="55" s="1"/>
  <c r="D10" i="48"/>
  <c r="D4" i="48"/>
  <c r="C28" i="50"/>
  <c r="E28" i="50" s="1"/>
  <c r="G28" i="50" s="1"/>
  <c r="I28" i="50" s="1"/>
  <c r="K28" i="50" s="1"/>
  <c r="M28" i="50" s="1"/>
  <c r="O28" i="50" s="1"/>
  <c r="B22" i="49"/>
  <c r="C16" i="49"/>
  <c r="D16" i="49" s="1"/>
  <c r="E16" i="49" s="1"/>
  <c r="F16" i="49" s="1"/>
  <c r="G16" i="49" s="1"/>
  <c r="H16" i="49" s="1"/>
  <c r="D60" i="51" l="1" a="1"/>
  <c r="D60" i="51" s="1"/>
  <c r="E10" i="54" s="1" a="1"/>
  <c r="E10" i="54" s="1"/>
  <c r="D59" i="51" a="1"/>
  <c r="D59" i="51" s="1"/>
  <c r="E9" i="54" s="1" a="1"/>
  <c r="E9" i="54" s="1"/>
  <c r="D58" i="51" a="1"/>
  <c r="D58" i="51" s="1"/>
  <c r="E8" i="54" s="1" a="1"/>
  <c r="E8" i="54" s="1"/>
  <c r="D61" i="51" a="1"/>
  <c r="D61" i="51" s="1"/>
  <c r="D57" i="51" a="1"/>
  <c r="D57" i="51" s="1"/>
  <c r="D55" i="51" a="1"/>
  <c r="D55" i="51" s="1"/>
  <c r="E5" i="54" s="1" a="1"/>
  <c r="E5" i="54" s="1"/>
  <c r="D56" i="51" a="1"/>
  <c r="D56" i="51" s="1"/>
  <c r="E6" i="54" s="1" a="1"/>
  <c r="E6" i="54" s="1"/>
  <c r="D54" i="51" a="1"/>
  <c r="D54" i="51" s="1"/>
  <c r="D53" i="51" a="1"/>
  <c r="D53" i="51" s="1"/>
  <c r="E3" i="54" s="1" a="1"/>
  <c r="E3" i="54" s="1"/>
  <c r="R60" i="51" a="1"/>
  <c r="R60" i="51" s="1"/>
  <c r="R58" i="51" a="1"/>
  <c r="R58" i="51" s="1"/>
  <c r="R57" i="51" a="1"/>
  <c r="R57" i="51" s="1"/>
  <c r="R55" i="51" a="1"/>
  <c r="R55" i="51" s="1"/>
  <c r="R61" i="51" a="1"/>
  <c r="R61" i="51" s="1"/>
  <c r="R59" i="51" a="1"/>
  <c r="R59" i="51" s="1"/>
  <c r="R56" i="51" a="1"/>
  <c r="R56" i="51" s="1"/>
  <c r="R54" i="51" a="1"/>
  <c r="R54" i="51" s="1"/>
  <c r="R53" i="51" a="1"/>
  <c r="R53" i="51" s="1"/>
  <c r="F13" i="54"/>
  <c r="B16" i="48"/>
  <c r="C16" i="48" s="1"/>
  <c r="D16" i="48" s="1"/>
  <c r="C9" i="48"/>
  <c r="E18" i="54" a="1"/>
  <c r="E18" i="54" s="1"/>
  <c r="C9" i="62"/>
  <c r="D20" i="54"/>
  <c r="D15" i="54"/>
  <c r="B6" i="48" s="1"/>
  <c r="C34" i="62"/>
  <c r="F19" i="54" a="1"/>
  <c r="F19" i="54" s="1"/>
  <c r="F20" i="54" s="1"/>
  <c r="A7" i="63"/>
  <c r="E7" i="63" s="1"/>
  <c r="I6" i="63"/>
  <c r="G6" i="63"/>
  <c r="D6" i="63"/>
  <c r="J6" i="63"/>
  <c r="F6" i="63"/>
  <c r="H6" i="63"/>
  <c r="B6" i="63"/>
  <c r="D22" i="62"/>
  <c r="C28" i="62"/>
  <c r="G4" i="62"/>
  <c r="E16" i="62"/>
  <c r="F10" i="62"/>
  <c r="E4" i="49"/>
  <c r="E4" i="54" a="1"/>
  <c r="E4" i="54" s="1"/>
  <c r="E7" i="54" a="1"/>
  <c r="E7" i="54" s="1"/>
  <c r="H2" i="54"/>
  <c r="S51" i="51"/>
  <c r="B22" i="48"/>
  <c r="C22" i="48" s="1"/>
  <c r="E51" i="51"/>
  <c r="I53" i="55"/>
  <c r="E4" i="48"/>
  <c r="E10" i="48"/>
  <c r="B28" i="49"/>
  <c r="B34" i="49" s="1"/>
  <c r="C22" i="49"/>
  <c r="D22" i="49" s="1"/>
  <c r="E22" i="49" s="1"/>
  <c r="F22" i="49" s="1"/>
  <c r="G22" i="49" s="1"/>
  <c r="H22" i="49" s="1"/>
  <c r="F51" i="51" l="1"/>
  <c r="E61" i="51" a="1"/>
  <c r="E61" i="51" s="1"/>
  <c r="E59" i="51" a="1"/>
  <c r="E59" i="51" s="1"/>
  <c r="F9" i="54" s="1" a="1"/>
  <c r="F9" i="54" s="1"/>
  <c r="E58" i="51" a="1"/>
  <c r="E58" i="51" s="1"/>
  <c r="F8" i="54" s="1" a="1"/>
  <c r="F8" i="54" s="1"/>
  <c r="E60" i="51" a="1"/>
  <c r="E60" i="51" s="1"/>
  <c r="E56" i="51" a="1"/>
  <c r="E56" i="51" s="1"/>
  <c r="E54" i="51" a="1"/>
  <c r="E54" i="51" s="1"/>
  <c r="E57" i="51" a="1"/>
  <c r="E57" i="51" s="1"/>
  <c r="E55" i="51" a="1"/>
  <c r="E55" i="51" s="1"/>
  <c r="F5" i="54" s="1" a="1"/>
  <c r="F5" i="54" s="1"/>
  <c r="E53" i="51" a="1"/>
  <c r="E53" i="51" s="1"/>
  <c r="F3" i="54" s="1" a="1"/>
  <c r="F3" i="54" s="1"/>
  <c r="S61" i="51" a="1"/>
  <c r="S61" i="51" s="1"/>
  <c r="S59" i="51" a="1"/>
  <c r="S59" i="51" s="1"/>
  <c r="S58" i="51" a="1"/>
  <c r="S58" i="51" s="1"/>
  <c r="S56" i="51" a="1"/>
  <c r="S56" i="51" s="1"/>
  <c r="S54" i="51" a="1"/>
  <c r="S54" i="51" s="1"/>
  <c r="S60" i="51" a="1"/>
  <c r="S60" i="51" s="1"/>
  <c r="S57" i="51" a="1"/>
  <c r="S57" i="51" s="1"/>
  <c r="S55" i="51" a="1"/>
  <c r="S55" i="51" s="1"/>
  <c r="S53" i="51" a="1"/>
  <c r="S53" i="51" s="1"/>
  <c r="D9" i="48"/>
  <c r="B6" i="62"/>
  <c r="D9" i="62"/>
  <c r="B9" i="48"/>
  <c r="B9" i="62"/>
  <c r="G13" i="54"/>
  <c r="G19" i="54" s="1" a="1"/>
  <c r="G19" i="54" s="1"/>
  <c r="F18" i="54" a="1"/>
  <c r="F18" i="54" s="1"/>
  <c r="E15" i="54"/>
  <c r="D34" i="62"/>
  <c r="A8" i="63"/>
  <c r="E8" i="63" s="1"/>
  <c r="I7" i="63"/>
  <c r="G7" i="63"/>
  <c r="D7" i="63"/>
  <c r="H7" i="63"/>
  <c r="B7" i="63"/>
  <c r="J7" i="63"/>
  <c r="F7" i="63"/>
  <c r="D28" i="62"/>
  <c r="E22" i="62"/>
  <c r="G10" i="62"/>
  <c r="F16" i="62"/>
  <c r="H4" i="62"/>
  <c r="F4" i="49"/>
  <c r="F4" i="54" a="1"/>
  <c r="F4" i="54" s="1"/>
  <c r="F7" i="54" a="1"/>
  <c r="F7" i="54" s="1"/>
  <c r="F10" i="54" a="1"/>
  <c r="F10" i="54" s="1"/>
  <c r="F6" i="54" a="1"/>
  <c r="F6" i="54" s="1"/>
  <c r="T51" i="51"/>
  <c r="I2" i="54"/>
  <c r="C6" i="48"/>
  <c r="E16" i="54"/>
  <c r="C7" i="62" s="1"/>
  <c r="B28" i="48"/>
  <c r="C28" i="48" s="1"/>
  <c r="G51" i="51"/>
  <c r="I55" i="55"/>
  <c r="I57" i="55" s="1"/>
  <c r="J53" i="55"/>
  <c r="F10" i="48"/>
  <c r="F4" i="48"/>
  <c r="D22" i="48"/>
  <c r="E16" i="48"/>
  <c r="C28" i="49"/>
  <c r="D28" i="49" s="1"/>
  <c r="E28" i="49" s="1"/>
  <c r="F28" i="49" s="1"/>
  <c r="G28" i="49" s="1"/>
  <c r="H28" i="49" s="1"/>
  <c r="C34" i="49"/>
  <c r="D34" i="49" s="1"/>
  <c r="E34" i="49" s="1"/>
  <c r="F34" i="49" s="1"/>
  <c r="G34" i="49" s="1"/>
  <c r="H34" i="49" s="1"/>
  <c r="U51" i="51" l="1"/>
  <c r="T60" i="51" a="1"/>
  <c r="T60" i="51" s="1"/>
  <c r="T58" i="51" a="1"/>
  <c r="T58" i="51" s="1"/>
  <c r="T61" i="51" a="1"/>
  <c r="T61" i="51" s="1"/>
  <c r="T59" i="51" a="1"/>
  <c r="T59" i="51" s="1"/>
  <c r="T57" i="51" a="1"/>
  <c r="T57" i="51" s="1"/>
  <c r="T55" i="51" a="1"/>
  <c r="T55" i="51" s="1"/>
  <c r="T56" i="51" a="1"/>
  <c r="T56" i="51" s="1"/>
  <c r="T54" i="51" a="1"/>
  <c r="T54" i="51" s="1"/>
  <c r="T53" i="51" a="1"/>
  <c r="T53" i="51" s="1"/>
  <c r="G61" i="51" a="1"/>
  <c r="G61" i="51" s="1"/>
  <c r="G59" i="51" a="1"/>
  <c r="G59" i="51" s="1"/>
  <c r="H9" i="54" s="1" a="1"/>
  <c r="H9" i="54" s="1"/>
  <c r="G58" i="51" a="1"/>
  <c r="G58" i="51" s="1"/>
  <c r="G60" i="51" a="1"/>
  <c r="G60" i="51" s="1"/>
  <c r="H10" i="54" s="1" a="1"/>
  <c r="H10" i="54" s="1"/>
  <c r="G56" i="51" a="1"/>
  <c r="G56" i="51" s="1"/>
  <c r="H6" i="54" s="1" a="1"/>
  <c r="H6" i="54" s="1"/>
  <c r="G54" i="51" a="1"/>
  <c r="G54" i="51" s="1"/>
  <c r="G57" i="51" a="1"/>
  <c r="G57" i="51" s="1"/>
  <c r="H7" i="54" s="1" a="1"/>
  <c r="H7" i="54" s="1"/>
  <c r="G55" i="51" a="1"/>
  <c r="G55" i="51" s="1"/>
  <c r="H5" i="54" s="1" a="1"/>
  <c r="H5" i="54" s="1"/>
  <c r="G53" i="51" a="1"/>
  <c r="G53" i="51" s="1"/>
  <c r="H3" i="54" s="1" a="1"/>
  <c r="H3" i="54" s="1"/>
  <c r="F60" i="51" a="1"/>
  <c r="F60" i="51" s="1"/>
  <c r="G10" i="54" s="1" a="1"/>
  <c r="G10" i="54" s="1"/>
  <c r="F59" i="51" a="1"/>
  <c r="F59" i="51" s="1"/>
  <c r="G9" i="54" s="1" a="1"/>
  <c r="G9" i="54" s="1"/>
  <c r="F58" i="51" a="1"/>
  <c r="F58" i="51" s="1"/>
  <c r="G8" i="54" s="1" a="1"/>
  <c r="G8" i="54" s="1"/>
  <c r="F61" i="51" a="1"/>
  <c r="F61" i="51" s="1"/>
  <c r="F57" i="51" a="1"/>
  <c r="F57" i="51" s="1"/>
  <c r="G7" i="54" s="1" a="1"/>
  <c r="G7" i="54" s="1"/>
  <c r="F55" i="51" a="1"/>
  <c r="F55" i="51" s="1"/>
  <c r="G5" i="54" s="1" a="1"/>
  <c r="G5" i="54" s="1"/>
  <c r="F56" i="51" a="1"/>
  <c r="F56" i="51" s="1"/>
  <c r="G6" i="54" s="1" a="1"/>
  <c r="G6" i="54" s="1"/>
  <c r="F54" i="51" a="1"/>
  <c r="F54" i="51" s="1"/>
  <c r="G4" i="54" s="1" a="1"/>
  <c r="G4" i="54" s="1"/>
  <c r="F53" i="51" a="1"/>
  <c r="F53" i="51" s="1"/>
  <c r="G3" i="54" s="1" a="1"/>
  <c r="G3" i="54" s="1"/>
  <c r="G20" i="54"/>
  <c r="G18" i="54" a="1"/>
  <c r="G18" i="54" s="1"/>
  <c r="H13" i="54"/>
  <c r="H18" i="54" s="1" a="1"/>
  <c r="H18" i="54" s="1"/>
  <c r="E9" i="48"/>
  <c r="C6" i="62"/>
  <c r="E9" i="62"/>
  <c r="F15" i="54"/>
  <c r="D6" i="48" s="1"/>
  <c r="G15" i="54"/>
  <c r="E6" i="62" s="1"/>
  <c r="H19" i="54" a="1"/>
  <c r="H19" i="54" s="1"/>
  <c r="E34" i="62"/>
  <c r="A9" i="63"/>
  <c r="E9" i="63" s="1"/>
  <c r="I8" i="63"/>
  <c r="G8" i="63"/>
  <c r="D8" i="63"/>
  <c r="J8" i="63"/>
  <c r="F8" i="63"/>
  <c r="H8" i="63"/>
  <c r="B8" i="63"/>
  <c r="C7" i="48"/>
  <c r="G16" i="62"/>
  <c r="H10" i="62"/>
  <c r="F22" i="62"/>
  <c r="E28" i="62"/>
  <c r="G4" i="49"/>
  <c r="H8" i="54" a="1"/>
  <c r="H8" i="54" s="1"/>
  <c r="F16" i="54"/>
  <c r="J2" i="54"/>
  <c r="E6" i="48"/>
  <c r="V51" i="51"/>
  <c r="H51" i="51"/>
  <c r="F16" i="48"/>
  <c r="E22" i="48"/>
  <c r="G4" i="48"/>
  <c r="G10" i="48"/>
  <c r="D28" i="48"/>
  <c r="G16" i="54" l="1"/>
  <c r="V60" i="51" a="1"/>
  <c r="V60" i="51" s="1"/>
  <c r="V58" i="51" a="1"/>
  <c r="V58" i="51" s="1"/>
  <c r="V61" i="51" a="1"/>
  <c r="V61" i="51" s="1"/>
  <c r="V59" i="51" a="1"/>
  <c r="V59" i="51" s="1"/>
  <c r="V57" i="51" a="1"/>
  <c r="V57" i="51" s="1"/>
  <c r="V55" i="51" a="1"/>
  <c r="V55" i="51" s="1"/>
  <c r="V56" i="51" a="1"/>
  <c r="V56" i="51" s="1"/>
  <c r="V54" i="51" a="1"/>
  <c r="V54" i="51" s="1"/>
  <c r="V53" i="51" a="1"/>
  <c r="V53" i="51" s="1"/>
  <c r="I51" i="51"/>
  <c r="H60" i="51" a="1"/>
  <c r="H60" i="51" s="1"/>
  <c r="I10" i="54" s="1" a="1"/>
  <c r="I10" i="54" s="1"/>
  <c r="H59" i="51" a="1"/>
  <c r="H59" i="51" s="1"/>
  <c r="H58" i="51" a="1"/>
  <c r="H58" i="51" s="1"/>
  <c r="I8" i="54" s="1" a="1"/>
  <c r="I8" i="54" s="1"/>
  <c r="H61" i="51" a="1"/>
  <c r="H61" i="51" s="1"/>
  <c r="H57" i="51" a="1"/>
  <c r="H57" i="51" s="1"/>
  <c r="I7" i="54" s="1" a="1"/>
  <c r="I7" i="54" s="1"/>
  <c r="H55" i="51" a="1"/>
  <c r="H55" i="51" s="1"/>
  <c r="I5" i="54" s="1" a="1"/>
  <c r="I5" i="54" s="1"/>
  <c r="H56" i="51" a="1"/>
  <c r="H56" i="51" s="1"/>
  <c r="H54" i="51" a="1"/>
  <c r="H54" i="51" s="1"/>
  <c r="H53" i="51" a="1"/>
  <c r="H53" i="51" s="1"/>
  <c r="I3" i="54" s="1" a="1"/>
  <c r="I3" i="54" s="1"/>
  <c r="U61" i="51" a="1"/>
  <c r="U61" i="51" s="1"/>
  <c r="U59" i="51" a="1"/>
  <c r="U59" i="51" s="1"/>
  <c r="U58" i="51" a="1"/>
  <c r="U58" i="51" s="1"/>
  <c r="U60" i="51" a="1"/>
  <c r="U60" i="51" s="1"/>
  <c r="U56" i="51" a="1"/>
  <c r="U56" i="51" s="1"/>
  <c r="U54" i="51" a="1"/>
  <c r="U54" i="51" s="1"/>
  <c r="U57" i="51" a="1"/>
  <c r="U57" i="51" s="1"/>
  <c r="U55" i="51" a="1"/>
  <c r="U55" i="51" s="1"/>
  <c r="U53" i="51" a="1"/>
  <c r="U53" i="51" s="1"/>
  <c r="I13" i="54"/>
  <c r="I19" i="54" s="1" a="1"/>
  <c r="I19" i="54" s="1"/>
  <c r="E7" i="62"/>
  <c r="D6" i="62"/>
  <c r="H20" i="54"/>
  <c r="H15" i="54"/>
  <c r="F6" i="48" s="1"/>
  <c r="I18" i="54" a="1"/>
  <c r="I18" i="54" s="1"/>
  <c r="F34" i="62"/>
  <c r="A10" i="63"/>
  <c r="E10" i="63" s="1"/>
  <c r="I9" i="63"/>
  <c r="G9" i="63"/>
  <c r="D9" i="63"/>
  <c r="H9" i="63"/>
  <c r="B9" i="63"/>
  <c r="J9" i="63"/>
  <c r="F9" i="63"/>
  <c r="F28" i="62"/>
  <c r="H16" i="62"/>
  <c r="G22" i="62"/>
  <c r="H4" i="49"/>
  <c r="I9" i="54" a="1"/>
  <c r="I9" i="54" s="1"/>
  <c r="I6" i="54" a="1"/>
  <c r="I6" i="54" s="1"/>
  <c r="W51" i="51"/>
  <c r="H4" i="54" a="1"/>
  <c r="H4" i="54" s="1"/>
  <c r="K2" i="54"/>
  <c r="H16" i="54"/>
  <c r="F7" i="62" s="1"/>
  <c r="J51" i="51"/>
  <c r="E28" i="48"/>
  <c r="H10" i="48"/>
  <c r="H4" i="48"/>
  <c r="F22" i="48"/>
  <c r="G16" i="48"/>
  <c r="J60" i="51" l="1" a="1"/>
  <c r="J60" i="51" s="1"/>
  <c r="K10" i="54" s="1" a="1"/>
  <c r="K10" i="54" s="1"/>
  <c r="J59" i="51" a="1"/>
  <c r="J59" i="51" s="1"/>
  <c r="K9" i="54" s="1" a="1"/>
  <c r="K9" i="54" s="1"/>
  <c r="J58" i="51" a="1"/>
  <c r="J58" i="51" s="1"/>
  <c r="K8" i="54" s="1" a="1"/>
  <c r="K8" i="54" s="1"/>
  <c r="J57" i="51" a="1"/>
  <c r="J57" i="51" s="1"/>
  <c r="K7" i="54" s="1" a="1"/>
  <c r="K7" i="54" s="1"/>
  <c r="J55" i="51" a="1"/>
  <c r="J55" i="51" s="1"/>
  <c r="K5" i="54" s="1" a="1"/>
  <c r="K5" i="54" s="1"/>
  <c r="J61" i="51" a="1"/>
  <c r="J61" i="51" s="1"/>
  <c r="J56" i="51" a="1"/>
  <c r="J56" i="51" s="1"/>
  <c r="K6" i="54" s="1" a="1"/>
  <c r="K6" i="54" s="1"/>
  <c r="J54" i="51" a="1"/>
  <c r="J54" i="51" s="1"/>
  <c r="J53" i="51" a="1"/>
  <c r="J53" i="51" s="1"/>
  <c r="K3" i="54" s="1" a="1"/>
  <c r="K3" i="54" s="1"/>
  <c r="X51" i="51"/>
  <c r="W61" i="51" a="1"/>
  <c r="W61" i="51" s="1"/>
  <c r="W59" i="51" a="1"/>
  <c r="W59" i="51" s="1"/>
  <c r="W58" i="51" a="1"/>
  <c r="W58" i="51" s="1"/>
  <c r="W60" i="51" a="1"/>
  <c r="W60" i="51" s="1"/>
  <c r="W56" i="51" a="1"/>
  <c r="W56" i="51" s="1"/>
  <c r="W54" i="51" a="1"/>
  <c r="W54" i="51" s="1"/>
  <c r="W57" i="51" a="1"/>
  <c r="W57" i="51" s="1"/>
  <c r="W55" i="51" a="1"/>
  <c r="W55" i="51" s="1"/>
  <c r="W53" i="51" a="1"/>
  <c r="W53" i="51" s="1"/>
  <c r="I61" i="51" a="1"/>
  <c r="I61" i="51" s="1"/>
  <c r="I59" i="51" a="1"/>
  <c r="I59" i="51" s="1"/>
  <c r="J9" i="54" s="1" a="1"/>
  <c r="J9" i="54" s="1"/>
  <c r="I58" i="51" a="1"/>
  <c r="I58" i="51" s="1"/>
  <c r="J8" i="54" s="1" a="1"/>
  <c r="J8" i="54" s="1"/>
  <c r="I60" i="51" a="1"/>
  <c r="I60" i="51" s="1"/>
  <c r="J10" i="54" s="1" a="1"/>
  <c r="J10" i="54" s="1"/>
  <c r="I56" i="51" a="1"/>
  <c r="I56" i="51" s="1"/>
  <c r="J6" i="54" s="1" a="1"/>
  <c r="J6" i="54" s="1"/>
  <c r="I54" i="51" a="1"/>
  <c r="I54" i="51" s="1"/>
  <c r="I57" i="51" a="1"/>
  <c r="I57" i="51" s="1"/>
  <c r="J7" i="54" s="1" a="1"/>
  <c r="J7" i="54" s="1"/>
  <c r="I55" i="51" a="1"/>
  <c r="I55" i="51" s="1"/>
  <c r="J5" i="54" s="1" a="1"/>
  <c r="J5" i="54" s="1"/>
  <c r="I53" i="51" a="1"/>
  <c r="I53" i="51" s="1"/>
  <c r="J3" i="54" s="1" a="1"/>
  <c r="J3" i="54" s="1"/>
  <c r="I20" i="54"/>
  <c r="J13" i="54"/>
  <c r="J19" i="54" s="1" a="1"/>
  <c r="J19" i="54" s="1"/>
  <c r="G9" i="48"/>
  <c r="F9" i="62"/>
  <c r="F9" i="48"/>
  <c r="F6" i="62"/>
  <c r="G9" i="62"/>
  <c r="I15" i="54"/>
  <c r="G34" i="62"/>
  <c r="A11" i="63"/>
  <c r="E11" i="63" s="1"/>
  <c r="I10" i="63"/>
  <c r="G10" i="63"/>
  <c r="D10" i="63"/>
  <c r="J10" i="63"/>
  <c r="F10" i="63"/>
  <c r="H10" i="63"/>
  <c r="B10" i="63"/>
  <c r="G28" i="62"/>
  <c r="H22" i="62"/>
  <c r="I4" i="54" a="1"/>
  <c r="I4" i="54" s="1"/>
  <c r="I16" i="54"/>
  <c r="L2" i="54"/>
  <c r="G6" i="48"/>
  <c r="K51" i="51"/>
  <c r="H16" i="48"/>
  <c r="G22" i="48"/>
  <c r="F28" i="48"/>
  <c r="X60" i="51" l="1" a="1"/>
  <c r="X60" i="51" s="1"/>
  <c r="X58" i="51" a="1"/>
  <c r="X58" i="51" s="1"/>
  <c r="X61" i="51" a="1"/>
  <c r="X61" i="51" s="1"/>
  <c r="X59" i="51" a="1"/>
  <c r="X59" i="51" s="1"/>
  <c r="X57" i="51" a="1"/>
  <c r="X57" i="51" s="1"/>
  <c r="X55" i="51" a="1"/>
  <c r="X55" i="51" s="1"/>
  <c r="X56" i="51" a="1"/>
  <c r="X56" i="51" s="1"/>
  <c r="X54" i="51" a="1"/>
  <c r="X54" i="51" s="1"/>
  <c r="X53" i="51" a="1"/>
  <c r="X53" i="51" s="1"/>
  <c r="Y51" i="51"/>
  <c r="K61" i="51" a="1"/>
  <c r="K61" i="51" s="1"/>
  <c r="K59" i="51" a="1"/>
  <c r="K59" i="51" s="1"/>
  <c r="L9" i="54" s="1" a="1"/>
  <c r="L9" i="54" s="1"/>
  <c r="K58" i="51" a="1"/>
  <c r="K58" i="51" s="1"/>
  <c r="L8" i="54" s="1" a="1"/>
  <c r="L8" i="54" s="1"/>
  <c r="K56" i="51" a="1"/>
  <c r="K56" i="51" s="1"/>
  <c r="L6" i="54" s="1" a="1"/>
  <c r="L6" i="54" s="1"/>
  <c r="K54" i="51" a="1"/>
  <c r="K54" i="51" s="1"/>
  <c r="K60" i="51" a="1"/>
  <c r="K60" i="51" s="1"/>
  <c r="L10" i="54" s="1" a="1"/>
  <c r="L10" i="54" s="1"/>
  <c r="K57" i="51" a="1"/>
  <c r="K57" i="51" s="1"/>
  <c r="L7" i="54" s="1" a="1"/>
  <c r="L7" i="54" s="1"/>
  <c r="K55" i="51" a="1"/>
  <c r="K55" i="51" s="1"/>
  <c r="L5" i="54" s="1" a="1"/>
  <c r="L5" i="54" s="1"/>
  <c r="K53" i="51" a="1"/>
  <c r="K53" i="51" s="1"/>
  <c r="L3" i="54" s="1" a="1"/>
  <c r="L3" i="54" s="1"/>
  <c r="J15" i="54"/>
  <c r="H6" i="48" s="1"/>
  <c r="J18" i="54" a="1"/>
  <c r="J18" i="54" s="1"/>
  <c r="K13" i="54"/>
  <c r="K18" i="54" s="1" a="1"/>
  <c r="K18" i="54" s="1"/>
  <c r="G7" i="62"/>
  <c r="G6" i="62"/>
  <c r="H6" i="62"/>
  <c r="J20" i="54"/>
  <c r="J4" i="54" a="1"/>
  <c r="J4" i="54" s="1"/>
  <c r="J16" i="54" s="1"/>
  <c r="K19" i="54" a="1"/>
  <c r="K19" i="54" s="1"/>
  <c r="H34" i="62"/>
  <c r="A12" i="63"/>
  <c r="E12" i="63" s="1"/>
  <c r="I11" i="63"/>
  <c r="G11" i="63"/>
  <c r="D11" i="63"/>
  <c r="H11" i="63"/>
  <c r="B11" i="63"/>
  <c r="J11" i="63"/>
  <c r="F11" i="63"/>
  <c r="H28" i="62"/>
  <c r="M2" i="54"/>
  <c r="B12" i="48"/>
  <c r="G28" i="48"/>
  <c r="H22" i="48"/>
  <c r="Z51" i="51"/>
  <c r="L51" i="51"/>
  <c r="Z60" i="51" l="1" a="1"/>
  <c r="Z60" i="51" s="1"/>
  <c r="Z58" i="51" a="1"/>
  <c r="Z58" i="51" s="1"/>
  <c r="Z57" i="51" a="1"/>
  <c r="Z57" i="51" s="1"/>
  <c r="Z55" i="51" a="1"/>
  <c r="Z55" i="51" s="1"/>
  <c r="Z53" i="51" a="1"/>
  <c r="Z53" i="51" s="1"/>
  <c r="Z61" i="51" a="1"/>
  <c r="Z61" i="51" s="1"/>
  <c r="Z59" i="51" a="1"/>
  <c r="Z59" i="51" s="1"/>
  <c r="Z56" i="51" a="1"/>
  <c r="Z56" i="51" s="1"/>
  <c r="Z54" i="51" a="1"/>
  <c r="Z54" i="51" s="1"/>
  <c r="Y61" i="51" a="1"/>
  <c r="Y61" i="51" s="1"/>
  <c r="Y59" i="51" a="1"/>
  <c r="Y59" i="51" s="1"/>
  <c r="Y58" i="51" a="1"/>
  <c r="Y58" i="51" s="1"/>
  <c r="Y60" i="51" a="1"/>
  <c r="Y60" i="51" s="1"/>
  <c r="Y56" i="51" a="1"/>
  <c r="Y56" i="51" s="1"/>
  <c r="Y54" i="51" a="1"/>
  <c r="Y54" i="51" s="1"/>
  <c r="Y57" i="51" a="1"/>
  <c r="Y57" i="51" s="1"/>
  <c r="Y55" i="51" a="1"/>
  <c r="Y55" i="51" s="1"/>
  <c r="Y53" i="51" a="1"/>
  <c r="Y53" i="51" s="1"/>
  <c r="L60" i="51" a="1"/>
  <c r="L60" i="51" s="1"/>
  <c r="M10" i="54" s="1" a="1"/>
  <c r="M10" i="54" s="1"/>
  <c r="L58" i="51" a="1"/>
  <c r="L58" i="51" s="1"/>
  <c r="M8" i="54" s="1" a="1"/>
  <c r="M8" i="54" s="1"/>
  <c r="L61" i="51" a="1"/>
  <c r="L61" i="51" s="1"/>
  <c r="L59" i="51" a="1"/>
  <c r="L59" i="51" s="1"/>
  <c r="M9" i="54" s="1" a="1"/>
  <c r="M9" i="54" s="1"/>
  <c r="L57" i="51" a="1"/>
  <c r="L57" i="51" s="1"/>
  <c r="L55" i="51" a="1"/>
  <c r="L55" i="51" s="1"/>
  <c r="L56" i="51" a="1"/>
  <c r="L56" i="51" s="1"/>
  <c r="M6" i="54" s="1" a="1"/>
  <c r="M6" i="54" s="1"/>
  <c r="L54" i="51" a="1"/>
  <c r="L54" i="51" s="1"/>
  <c r="L53" i="51" a="1"/>
  <c r="L53" i="51" s="1"/>
  <c r="M3" i="54" s="1" a="1"/>
  <c r="M3" i="54" s="1"/>
  <c r="K15" i="54"/>
  <c r="L13" i="54"/>
  <c r="L18" i="54" s="1" a="1"/>
  <c r="L18" i="54" s="1"/>
  <c r="H9" i="48"/>
  <c r="H9" i="62"/>
  <c r="K20" i="54"/>
  <c r="K4" i="54" a="1"/>
  <c r="K4" i="54" s="1"/>
  <c r="K16" i="54" s="1"/>
  <c r="L19" i="54" a="1"/>
  <c r="L19" i="54" s="1"/>
  <c r="A13" i="63"/>
  <c r="E13" i="63" s="1"/>
  <c r="I12" i="63"/>
  <c r="G12" i="63"/>
  <c r="D12" i="63"/>
  <c r="J12" i="63"/>
  <c r="F12" i="63"/>
  <c r="H12" i="63"/>
  <c r="B12" i="63"/>
  <c r="M5" i="54" a="1"/>
  <c r="M5" i="54" s="1"/>
  <c r="M7" i="54" a="1"/>
  <c r="M7" i="54" s="1"/>
  <c r="N2" i="54"/>
  <c r="L16" i="54"/>
  <c r="C12" i="48"/>
  <c r="H28" i="48"/>
  <c r="M51" i="51"/>
  <c r="AA51" i="51"/>
  <c r="AA61" i="51" l="1" a="1"/>
  <c r="AA61" i="51" s="1"/>
  <c r="AA59" i="51" a="1"/>
  <c r="AA59" i="51" s="1"/>
  <c r="AA58" i="51" a="1"/>
  <c r="AA58" i="51" s="1"/>
  <c r="AA56" i="51" a="1"/>
  <c r="AA56" i="51" s="1"/>
  <c r="AA54" i="51" a="1"/>
  <c r="AA54" i="51" s="1"/>
  <c r="AA60" i="51" a="1"/>
  <c r="AA60" i="51" s="1"/>
  <c r="AA57" i="51" a="1"/>
  <c r="AA57" i="51" s="1"/>
  <c r="AA55" i="51" a="1"/>
  <c r="AA55" i="51" s="1"/>
  <c r="AA53" i="51" a="1"/>
  <c r="AA53" i="51" s="1"/>
  <c r="M61" i="51" a="1"/>
  <c r="M61" i="51" s="1"/>
  <c r="M59" i="51" a="1"/>
  <c r="M59" i="51" s="1"/>
  <c r="M58" i="51" a="1"/>
  <c r="M58" i="51" s="1"/>
  <c r="N8" i="54" s="1" a="1"/>
  <c r="N8" i="54" s="1"/>
  <c r="M60" i="51" a="1"/>
  <c r="M60" i="51" s="1"/>
  <c r="N10" i="54" s="1" a="1"/>
  <c r="N10" i="54" s="1"/>
  <c r="M56" i="51" a="1"/>
  <c r="M56" i="51" s="1"/>
  <c r="M54" i="51" a="1"/>
  <c r="M54" i="51" s="1"/>
  <c r="M57" i="51" a="1"/>
  <c r="M57" i="51" s="1"/>
  <c r="M55" i="51" a="1"/>
  <c r="M55" i="51" s="1"/>
  <c r="M53" i="51" a="1"/>
  <c r="M53" i="51" s="1"/>
  <c r="N3" i="54" s="1" a="1"/>
  <c r="N3" i="54" s="1"/>
  <c r="M13" i="54"/>
  <c r="M19" i="54" s="1" a="1"/>
  <c r="M19" i="54" s="1"/>
  <c r="L15" i="54"/>
  <c r="B15" i="48"/>
  <c r="L20" i="54"/>
  <c r="L4" i="54" a="1"/>
  <c r="L4" i="54" s="1"/>
  <c r="M4" i="54" s="1" a="1"/>
  <c r="M4" i="54" s="1"/>
  <c r="M18" i="54" a="1"/>
  <c r="M18" i="54" s="1"/>
  <c r="A14" i="63"/>
  <c r="E14" i="63" s="1"/>
  <c r="I13" i="63"/>
  <c r="G13" i="63"/>
  <c r="D13" i="63"/>
  <c r="H13" i="63"/>
  <c r="B13" i="63"/>
  <c r="J13" i="63"/>
  <c r="F13" i="63"/>
  <c r="N5" i="54" a="1"/>
  <c r="N5" i="54" s="1"/>
  <c r="N7" i="54" a="1"/>
  <c r="N7" i="54" s="1"/>
  <c r="N9" i="54" a="1"/>
  <c r="N9" i="54" s="1"/>
  <c r="N6" i="54" a="1"/>
  <c r="N6" i="54" s="1"/>
  <c r="O2" i="54"/>
  <c r="M16" i="54"/>
  <c r="AB51" i="51"/>
  <c r="N51" i="51"/>
  <c r="AB60" i="51" l="1" a="1"/>
  <c r="AB60" i="51" s="1"/>
  <c r="AB58" i="51" a="1"/>
  <c r="AB58" i="51" s="1"/>
  <c r="AB57" i="51" a="1"/>
  <c r="AB57" i="51" s="1"/>
  <c r="AB61" i="51" a="1"/>
  <c r="AB61" i="51" s="1"/>
  <c r="AB59" i="51" a="1"/>
  <c r="AB59" i="51" s="1"/>
  <c r="AB55" i="51" a="1"/>
  <c r="AB55" i="51" s="1"/>
  <c r="AB53" i="51" a="1"/>
  <c r="AB53" i="51" s="1"/>
  <c r="AB56" i="51" a="1"/>
  <c r="AB56" i="51" s="1"/>
  <c r="AB54" i="51" a="1"/>
  <c r="AB54" i="51" s="1"/>
  <c r="N60" i="51" a="1"/>
  <c r="N60" i="51" s="1"/>
  <c r="N58" i="51" a="1"/>
  <c r="N58" i="51" s="1"/>
  <c r="N61" i="51" a="1"/>
  <c r="N61" i="51" s="1"/>
  <c r="N59" i="51" a="1"/>
  <c r="N59" i="51" s="1"/>
  <c r="N57" i="51" a="1"/>
  <c r="N57" i="51" s="1"/>
  <c r="N55" i="51" a="1"/>
  <c r="N55" i="51" s="1"/>
  <c r="N56" i="51" a="1"/>
  <c r="N56" i="51" s="1"/>
  <c r="N54" i="51" a="1"/>
  <c r="N54" i="51" s="1"/>
  <c r="N53" i="51" a="1"/>
  <c r="N53" i="51" s="1"/>
  <c r="N13" i="54"/>
  <c r="N18" i="54" s="1" a="1"/>
  <c r="N18" i="54" s="1"/>
  <c r="M15" i="54"/>
  <c r="D12" i="48" s="1"/>
  <c r="C15" i="48"/>
  <c r="M20" i="54"/>
  <c r="N4" i="54" a="1"/>
  <c r="N4" i="54" s="1"/>
  <c r="N19" i="54" a="1"/>
  <c r="N19" i="54" s="1"/>
  <c r="N20" i="54" s="1"/>
  <c r="A15" i="63"/>
  <c r="E15" i="63" s="1"/>
  <c r="I14" i="63"/>
  <c r="G14" i="63"/>
  <c r="D14" i="63"/>
  <c r="J14" i="63"/>
  <c r="F14" i="63"/>
  <c r="H14" i="63"/>
  <c r="B14" i="63"/>
  <c r="N15" i="54"/>
  <c r="O5" i="54" a="1"/>
  <c r="O5" i="54" s="1"/>
  <c r="O7" i="54" a="1"/>
  <c r="O7" i="54" s="1"/>
  <c r="O9" i="54" a="1"/>
  <c r="O9" i="54" s="1"/>
  <c r="O6" i="54" a="1"/>
  <c r="O6" i="54" s="1"/>
  <c r="O8" i="54" a="1"/>
  <c r="O8" i="54" s="1"/>
  <c r="O10" i="54" a="1"/>
  <c r="O10" i="54" s="1"/>
  <c r="P2" i="54"/>
  <c r="O3" i="54" a="1"/>
  <c r="O3" i="54" s="1"/>
  <c r="AC51" i="51"/>
  <c r="O13" i="54"/>
  <c r="N16" i="54"/>
  <c r="E12" i="48"/>
  <c r="O51" i="51"/>
  <c r="O61" i="51" l="1" a="1"/>
  <c r="O61" i="51" s="1"/>
  <c r="O59" i="51" a="1"/>
  <c r="O59" i="51" s="1"/>
  <c r="P9" i="54" s="1" a="1"/>
  <c r="P9" i="54" s="1"/>
  <c r="O58" i="51" a="1"/>
  <c r="O58" i="51" s="1"/>
  <c r="P8" i="54" s="1" a="1"/>
  <c r="P8" i="54" s="1"/>
  <c r="O60" i="51" a="1"/>
  <c r="O60" i="51" s="1"/>
  <c r="P10" i="54" s="1" a="1"/>
  <c r="P10" i="54" s="1"/>
  <c r="O56" i="51" a="1"/>
  <c r="O56" i="51" s="1"/>
  <c r="P6" i="54" s="1" a="1"/>
  <c r="P6" i="54" s="1"/>
  <c r="O54" i="51" a="1"/>
  <c r="O54" i="51" s="1"/>
  <c r="O57" i="51" a="1"/>
  <c r="O57" i="51" s="1"/>
  <c r="P7" i="54" s="1" a="1"/>
  <c r="P7" i="54" s="1"/>
  <c r="O55" i="51" a="1"/>
  <c r="O55" i="51" s="1"/>
  <c r="P5" i="54" s="1" a="1"/>
  <c r="P5" i="54" s="1"/>
  <c r="O53" i="51" a="1"/>
  <c r="O53" i="51" s="1"/>
  <c r="P3" i="54" s="1" a="1"/>
  <c r="P3" i="54" s="1"/>
  <c r="AC61" i="51" a="1"/>
  <c r="AC61" i="51" s="1"/>
  <c r="AC59" i="51" a="1"/>
  <c r="AC59" i="51" s="1"/>
  <c r="AC58" i="51" a="1"/>
  <c r="AC58" i="51" s="1"/>
  <c r="AC57" i="51" a="1"/>
  <c r="AC57" i="51" s="1"/>
  <c r="AC60" i="51" a="1"/>
  <c r="AC60" i="51" s="1"/>
  <c r="AC56" i="51" a="1"/>
  <c r="AC56" i="51" s="1"/>
  <c r="AC54" i="51" a="1"/>
  <c r="AC54" i="51" s="1"/>
  <c r="AC55" i="51" a="1"/>
  <c r="AC55" i="51" s="1"/>
  <c r="AC53" i="51" a="1"/>
  <c r="AC53" i="51" s="1"/>
  <c r="D15" i="48"/>
  <c r="O4" i="54" a="1"/>
  <c r="O4" i="54" s="1"/>
  <c r="O19" i="54" a="1"/>
  <c r="O19" i="54" s="1"/>
  <c r="O20" i="54" s="1"/>
  <c r="O18" i="54" a="1"/>
  <c r="O18" i="54" s="1"/>
  <c r="A16" i="63"/>
  <c r="E16" i="63" s="1"/>
  <c r="I15" i="63"/>
  <c r="G15" i="63"/>
  <c r="D15" i="63"/>
  <c r="H15" i="63"/>
  <c r="B15" i="63"/>
  <c r="J15" i="63"/>
  <c r="F15" i="63"/>
  <c r="O15" i="54"/>
  <c r="F12" i="48" s="1"/>
  <c r="Q2" i="54"/>
  <c r="P13" i="54"/>
  <c r="O16" i="54"/>
  <c r="AD51" i="51"/>
  <c r="P51" i="51"/>
  <c r="P4" i="54" l="1" a="1"/>
  <c r="P4" i="54" s="1"/>
  <c r="AD60" i="51" a="1"/>
  <c r="AD60" i="51" s="1"/>
  <c r="AD58" i="51" a="1"/>
  <c r="AD58" i="51" s="1"/>
  <c r="AD57" i="51" a="1"/>
  <c r="AD57" i="51" s="1"/>
  <c r="AD61" i="51" a="1"/>
  <c r="AD61" i="51" s="1"/>
  <c r="AD59" i="51" a="1"/>
  <c r="AD59" i="51" s="1"/>
  <c r="AD55" i="51" a="1"/>
  <c r="AD55" i="51" s="1"/>
  <c r="AD53" i="51" a="1"/>
  <c r="AD53" i="51" s="1"/>
  <c r="AD56" i="51" a="1"/>
  <c r="AD56" i="51" s="1"/>
  <c r="AD54" i="51" a="1"/>
  <c r="AD54" i="51" s="1"/>
  <c r="P60" i="51" a="1"/>
  <c r="P60" i="51" s="1"/>
  <c r="Q10" i="54" s="1" a="1"/>
  <c r="Q10" i="54" s="1"/>
  <c r="P58" i="51" a="1"/>
  <c r="P58" i="51" s="1"/>
  <c r="Q8" i="54" s="1" a="1"/>
  <c r="Q8" i="54" s="1"/>
  <c r="P61" i="51" a="1"/>
  <c r="P61" i="51" s="1"/>
  <c r="P59" i="51" a="1"/>
  <c r="P59" i="51" s="1"/>
  <c r="Q9" i="54" s="1" a="1"/>
  <c r="Q9" i="54" s="1"/>
  <c r="P57" i="51" a="1"/>
  <c r="P57" i="51" s="1"/>
  <c r="P55" i="51" a="1"/>
  <c r="P55" i="51" s="1"/>
  <c r="Q5" i="54" s="1" a="1"/>
  <c r="Q5" i="54" s="1"/>
  <c r="P56" i="51" a="1"/>
  <c r="P56" i="51" s="1"/>
  <c r="Q6" i="54" s="1" a="1"/>
  <c r="Q6" i="54" s="1"/>
  <c r="P54" i="51" a="1"/>
  <c r="P54" i="51" s="1"/>
  <c r="P53" i="51" a="1"/>
  <c r="P53" i="51" s="1"/>
  <c r="Q3" i="54" s="1" a="1"/>
  <c r="Q3" i="54" s="1"/>
  <c r="P19" i="54" a="1"/>
  <c r="P19" i="54" s="1"/>
  <c r="P18" i="54" a="1"/>
  <c r="P18" i="54" s="1"/>
  <c r="A17" i="63"/>
  <c r="E17" i="63" s="1"/>
  <c r="I16" i="63"/>
  <c r="G16" i="63"/>
  <c r="D16" i="63"/>
  <c r="J16" i="63"/>
  <c r="F16" i="63"/>
  <c r="H16" i="63"/>
  <c r="B16" i="63"/>
  <c r="P15" i="54"/>
  <c r="Q7" i="54" a="1"/>
  <c r="Q7" i="54" s="1"/>
  <c r="R2" i="54"/>
  <c r="Q13" i="54"/>
  <c r="P16" i="54"/>
  <c r="Q51" i="51"/>
  <c r="AE51" i="51"/>
  <c r="Q4" i="54" l="1" a="1"/>
  <c r="Q4" i="54" s="1"/>
  <c r="AE61" i="51" a="1"/>
  <c r="AE61" i="51" s="1"/>
  <c r="AE59" i="51" a="1"/>
  <c r="AE59" i="51" s="1"/>
  <c r="AE58" i="51" a="1"/>
  <c r="AE58" i="51" s="1"/>
  <c r="AE57" i="51" a="1"/>
  <c r="AE57" i="51" s="1"/>
  <c r="AE60" i="51" a="1"/>
  <c r="AE60" i="51" s="1"/>
  <c r="AE56" i="51" a="1"/>
  <c r="AE56" i="51" s="1"/>
  <c r="AE54" i="51" a="1"/>
  <c r="AE54" i="51" s="1"/>
  <c r="AE55" i="51" a="1"/>
  <c r="AE55" i="51" s="1"/>
  <c r="AE53" i="51" a="1"/>
  <c r="AE53" i="51" s="1"/>
  <c r="Q61" i="51" a="1"/>
  <c r="Q61" i="51" s="1"/>
  <c r="Q59" i="51" a="1"/>
  <c r="Q59" i="51" s="1"/>
  <c r="R9" i="54" s="1" a="1"/>
  <c r="R9" i="54" s="1"/>
  <c r="Q58" i="51" a="1"/>
  <c r="Q58" i="51" s="1"/>
  <c r="R8" i="54" s="1" a="1"/>
  <c r="R8" i="54" s="1"/>
  <c r="Q60" i="51" a="1"/>
  <c r="Q60" i="51" s="1"/>
  <c r="Q56" i="51" a="1"/>
  <c r="Q56" i="51" s="1"/>
  <c r="R6" i="54" s="1" a="1"/>
  <c r="R6" i="54" s="1"/>
  <c r="Q54" i="51" a="1"/>
  <c r="Q54" i="51" s="1"/>
  <c r="Q57" i="51" a="1"/>
  <c r="Q57" i="51" s="1"/>
  <c r="Q55" i="51" a="1"/>
  <c r="Q55" i="51" s="1"/>
  <c r="R5" i="54" s="1" a="1"/>
  <c r="R5" i="54" s="1"/>
  <c r="Q53" i="51" a="1"/>
  <c r="Q53" i="51" s="1"/>
  <c r="R3" i="54" s="1" a="1"/>
  <c r="R3" i="54" s="1"/>
  <c r="P20" i="54"/>
  <c r="Q19" i="54" a="1"/>
  <c r="Q19" i="54" s="1"/>
  <c r="Q18" i="54" a="1"/>
  <c r="Q18" i="54" s="1"/>
  <c r="A18" i="63"/>
  <c r="E18" i="63" s="1"/>
  <c r="I17" i="63"/>
  <c r="G17" i="63"/>
  <c r="D17" i="63"/>
  <c r="H17" i="63"/>
  <c r="B17" i="63"/>
  <c r="J17" i="63"/>
  <c r="F17" i="63"/>
  <c r="Q15" i="54"/>
  <c r="H12" i="48" s="1"/>
  <c r="R7" i="54" a="1"/>
  <c r="R7" i="54" s="1"/>
  <c r="R10" i="54" a="1"/>
  <c r="R10" i="54" s="1"/>
  <c r="S2" i="54"/>
  <c r="G12" i="48"/>
  <c r="R13" i="54"/>
  <c r="Q16" i="54"/>
  <c r="AF51" i="51"/>
  <c r="R4" i="54" l="1" a="1"/>
  <c r="R4" i="54" s="1"/>
  <c r="AF60" i="51" a="1"/>
  <c r="AF60" i="51" s="1"/>
  <c r="AF58" i="51" a="1"/>
  <c r="AF58" i="51" s="1"/>
  <c r="AF57" i="51" a="1"/>
  <c r="AF57" i="51" s="1"/>
  <c r="AF61" i="51" a="1"/>
  <c r="AF61" i="51" s="1"/>
  <c r="AF59" i="51" a="1"/>
  <c r="AF59" i="51" s="1"/>
  <c r="AF55" i="51" a="1"/>
  <c r="AF55" i="51" s="1"/>
  <c r="AF53" i="51" a="1"/>
  <c r="AF53" i="51" s="1"/>
  <c r="AF56" i="51" a="1"/>
  <c r="AF56" i="51" s="1"/>
  <c r="AF54" i="51" a="1"/>
  <c r="AF54" i="51" s="1"/>
  <c r="Q20" i="54"/>
  <c r="R19" i="54" a="1"/>
  <c r="R19" i="54" s="1"/>
  <c r="R18" i="54" a="1"/>
  <c r="R18" i="54" s="1"/>
  <c r="A19" i="63"/>
  <c r="E19" i="63" s="1"/>
  <c r="I18" i="63"/>
  <c r="G18" i="63"/>
  <c r="D18" i="63"/>
  <c r="J18" i="63"/>
  <c r="F18" i="63"/>
  <c r="H18" i="63"/>
  <c r="B18" i="63"/>
  <c r="R15" i="54"/>
  <c r="B18" i="62" s="1"/>
  <c r="S4" i="54" a="1"/>
  <c r="S4" i="54" s="1"/>
  <c r="S7" i="54" a="1"/>
  <c r="S7" i="54" s="1"/>
  <c r="S3" i="54" a="1"/>
  <c r="S3" i="54" s="1"/>
  <c r="S6" i="54" a="1"/>
  <c r="S6" i="54" s="1"/>
  <c r="S5" i="54" a="1"/>
  <c r="S5" i="54" s="1"/>
  <c r="S9" i="54" a="1"/>
  <c r="S9" i="54" s="1"/>
  <c r="S10" i="54" a="1"/>
  <c r="S10" i="54" s="1"/>
  <c r="S8" i="54" a="1"/>
  <c r="S8" i="54" s="1"/>
  <c r="T2" i="54"/>
  <c r="S13" i="54"/>
  <c r="R16" i="54"/>
  <c r="AG51" i="51"/>
  <c r="AG61" i="51" l="1" a="1"/>
  <c r="AG61" i="51" s="1"/>
  <c r="AG59" i="51" a="1"/>
  <c r="AG59" i="51" s="1"/>
  <c r="AG58" i="51" a="1"/>
  <c r="AG58" i="51" s="1"/>
  <c r="AG57" i="51" a="1"/>
  <c r="AG57" i="51" s="1"/>
  <c r="AG60" i="51" a="1"/>
  <c r="AG60" i="51" s="1"/>
  <c r="AG56" i="51" a="1"/>
  <c r="AG56" i="51" s="1"/>
  <c r="AG54" i="51" a="1"/>
  <c r="AG54" i="51" s="1"/>
  <c r="AG55" i="51" a="1"/>
  <c r="AG55" i="51" s="1"/>
  <c r="AG53" i="51" a="1"/>
  <c r="AG53" i="51" s="1"/>
  <c r="B19" i="62"/>
  <c r="R20" i="54"/>
  <c r="S19" i="54" a="1"/>
  <c r="S19" i="54" s="1"/>
  <c r="S20" i="54" s="1"/>
  <c r="S18" i="54" a="1"/>
  <c r="S18" i="54" s="1"/>
  <c r="A20" i="63"/>
  <c r="E20" i="63" s="1"/>
  <c r="I19" i="63"/>
  <c r="G19" i="63"/>
  <c r="D19" i="63"/>
  <c r="H19" i="63"/>
  <c r="B19" i="63"/>
  <c r="J19" i="63"/>
  <c r="F19" i="63"/>
  <c r="S15" i="54"/>
  <c r="T3" i="54" a="1"/>
  <c r="T3" i="54" s="1"/>
  <c r="T9" i="54" a="1"/>
  <c r="T9" i="54" s="1"/>
  <c r="T5" i="54" a="1"/>
  <c r="T5" i="54" s="1"/>
  <c r="T8" i="54" a="1"/>
  <c r="T8" i="54" s="1"/>
  <c r="T7" i="54" a="1"/>
  <c r="T7" i="54" s="1"/>
  <c r="T6" i="54" a="1"/>
  <c r="T6" i="54" s="1"/>
  <c r="T10" i="54" a="1"/>
  <c r="T10" i="54" s="1"/>
  <c r="T4" i="54" a="1"/>
  <c r="T4" i="54" s="1"/>
  <c r="S16" i="54"/>
  <c r="U2" i="54"/>
  <c r="B18" i="48"/>
  <c r="T13" i="54"/>
  <c r="C18" i="48"/>
  <c r="C19" i="62" l="1"/>
  <c r="C18" i="62"/>
  <c r="T19" i="54" a="1"/>
  <c r="T19" i="54" s="1"/>
  <c r="T18" i="54" a="1"/>
  <c r="T18" i="54" s="1"/>
  <c r="A21" i="63"/>
  <c r="E21" i="63" s="1"/>
  <c r="I20" i="63"/>
  <c r="G20" i="63"/>
  <c r="D20" i="63"/>
  <c r="J20" i="63"/>
  <c r="F20" i="63"/>
  <c r="H20" i="63"/>
  <c r="B20" i="63"/>
  <c r="T15" i="54"/>
  <c r="U3" i="54" a="1"/>
  <c r="U3" i="54" s="1"/>
  <c r="U7" i="54" a="1"/>
  <c r="U7" i="54" s="1"/>
  <c r="U6" i="54" a="1"/>
  <c r="U6" i="54" s="1"/>
  <c r="U5" i="54" a="1"/>
  <c r="U5" i="54" s="1"/>
  <c r="U8" i="54" a="1"/>
  <c r="U8" i="54" s="1"/>
  <c r="U10" i="54" a="1"/>
  <c r="U10" i="54" s="1"/>
  <c r="U9" i="54" a="1"/>
  <c r="U9" i="54" s="1"/>
  <c r="U4" i="54" a="1"/>
  <c r="U4" i="54" s="1"/>
  <c r="T16" i="54"/>
  <c r="V2" i="54"/>
  <c r="D18" i="48"/>
  <c r="U13" i="54"/>
  <c r="E9" i="44"/>
  <c r="F11" i="64" l="1"/>
  <c r="F6" i="64"/>
  <c r="F5" i="64"/>
  <c r="F10" i="64"/>
  <c r="F9" i="64"/>
  <c r="F8" i="64"/>
  <c r="F7" i="64"/>
  <c r="F4" i="64"/>
  <c r="F3" i="64"/>
  <c r="D18" i="62"/>
  <c r="D19" i="62"/>
  <c r="T20" i="54"/>
  <c r="F9" i="44"/>
  <c r="F11" i="44" s="1"/>
  <c r="F13" i="44" s="1"/>
  <c r="H78" i="51"/>
  <c r="H79" i="51"/>
  <c r="H80" i="51"/>
  <c r="H81" i="51"/>
  <c r="H82" i="51"/>
  <c r="H83" i="51"/>
  <c r="H84" i="51"/>
  <c r="H85" i="51"/>
  <c r="H86" i="51"/>
  <c r="U19" i="54" a="1"/>
  <c r="U19" i="54" s="1"/>
  <c r="U18" i="54" a="1"/>
  <c r="U18" i="54" s="1"/>
  <c r="A22" i="63"/>
  <c r="E22" i="63" s="1"/>
  <c r="I21" i="63"/>
  <c r="G21" i="63"/>
  <c r="D21" i="63"/>
  <c r="H21" i="63"/>
  <c r="B21" i="63"/>
  <c r="J21" i="63"/>
  <c r="F21" i="63"/>
  <c r="U15" i="54"/>
  <c r="E18" i="62" s="1"/>
  <c r="V3" i="54" a="1"/>
  <c r="V3" i="54" s="1"/>
  <c r="V5" i="54" a="1"/>
  <c r="V5" i="54" s="1"/>
  <c r="V9" i="54" a="1"/>
  <c r="V9" i="54" s="1"/>
  <c r="V6" i="54" a="1"/>
  <c r="V6" i="54" s="1"/>
  <c r="V10" i="54" a="1"/>
  <c r="V10" i="54" s="1"/>
  <c r="V7" i="54" a="1"/>
  <c r="V7" i="54" s="1"/>
  <c r="V8" i="54" a="1"/>
  <c r="V8" i="54" s="1"/>
  <c r="V4" i="54" a="1"/>
  <c r="V4" i="54" s="1"/>
  <c r="W2" i="54"/>
  <c r="U16" i="54"/>
  <c r="E19" i="62" s="1"/>
  <c r="V13" i="54"/>
  <c r="E7" i="48"/>
  <c r="B13" i="48"/>
  <c r="G13" i="48"/>
  <c r="D13" i="48"/>
  <c r="C19" i="48"/>
  <c r="H13" i="48"/>
  <c r="C13" i="48"/>
  <c r="F13" i="48"/>
  <c r="D19" i="48"/>
  <c r="E13" i="48"/>
  <c r="F7" i="48"/>
  <c r="B19" i="48"/>
  <c r="G7" i="48"/>
  <c r="U20" i="54" l="1"/>
  <c r="V19" i="54" a="1"/>
  <c r="V19" i="54" s="1"/>
  <c r="V20" i="54" s="1"/>
  <c r="V18" i="54" a="1"/>
  <c r="V18" i="54" s="1"/>
  <c r="A23" i="63"/>
  <c r="E23" i="63" s="1"/>
  <c r="I22" i="63"/>
  <c r="G22" i="63"/>
  <c r="D22" i="63"/>
  <c r="J22" i="63"/>
  <c r="F22" i="63"/>
  <c r="H22" i="63"/>
  <c r="B22" i="63"/>
  <c r="E19" i="48"/>
  <c r="V15" i="54"/>
  <c r="G9" i="44"/>
  <c r="J24" i="54" s="1"/>
  <c r="W4" i="54" a="1"/>
  <c r="W4" i="54" s="1"/>
  <c r="W3" i="54" a="1"/>
  <c r="W3" i="54" s="1"/>
  <c r="W6" i="54" a="1"/>
  <c r="W6" i="54" s="1"/>
  <c r="W7" i="54" a="1"/>
  <c r="W7" i="54" s="1"/>
  <c r="W5" i="54" a="1"/>
  <c r="W5" i="54" s="1"/>
  <c r="W9" i="54" a="1"/>
  <c r="W9" i="54" s="1"/>
  <c r="W10" i="54" a="1"/>
  <c r="W10" i="54" s="1"/>
  <c r="W8" i="54" a="1"/>
  <c r="W8" i="54" s="1"/>
  <c r="V16" i="54"/>
  <c r="F19" i="62" s="1"/>
  <c r="X2" i="54"/>
  <c r="W13" i="54"/>
  <c r="F18" i="62" l="1"/>
  <c r="W19" i="54" a="1"/>
  <c r="W19" i="54" s="1"/>
  <c r="W18" i="54" a="1"/>
  <c r="W18" i="54" s="1"/>
  <c r="A24" i="63"/>
  <c r="E24" i="63" s="1"/>
  <c r="I23" i="63"/>
  <c r="G23" i="63"/>
  <c r="D23" i="63"/>
  <c r="H23" i="63"/>
  <c r="B23" i="63"/>
  <c r="J23" i="63"/>
  <c r="F23" i="63"/>
  <c r="F19" i="48"/>
  <c r="W15" i="54"/>
  <c r="X3" i="54" a="1"/>
  <c r="X3" i="54" s="1"/>
  <c r="X9" i="54" a="1"/>
  <c r="X9" i="54" s="1"/>
  <c r="X6" i="54" a="1"/>
  <c r="X6" i="54" s="1"/>
  <c r="X10" i="54" a="1"/>
  <c r="X10" i="54" s="1"/>
  <c r="X7" i="54" a="1"/>
  <c r="X7" i="54" s="1"/>
  <c r="X5" i="54" a="1"/>
  <c r="X5" i="54" s="1"/>
  <c r="X8" i="54" a="1"/>
  <c r="X8" i="54" s="1"/>
  <c r="X4" i="54" a="1"/>
  <c r="X4" i="54" s="1"/>
  <c r="W16" i="54"/>
  <c r="G19" i="62" s="1"/>
  <c r="Y2" i="54"/>
  <c r="X13" i="54"/>
  <c r="W20" i="54" l="1"/>
  <c r="G18" i="62"/>
  <c r="X19" i="54" a="1"/>
  <c r="X19" i="54" s="1"/>
  <c r="X20" i="54" s="1"/>
  <c r="X18" i="54" a="1"/>
  <c r="X18" i="54" s="1"/>
  <c r="A25" i="63"/>
  <c r="E25" i="63" s="1"/>
  <c r="I24" i="63"/>
  <c r="G24" i="63"/>
  <c r="D24" i="63"/>
  <c r="J24" i="63"/>
  <c r="F24" i="63"/>
  <c r="H24" i="63"/>
  <c r="B24" i="63"/>
  <c r="G19" i="48"/>
  <c r="X15" i="54"/>
  <c r="Y6" i="54" a="1"/>
  <c r="Y6" i="54" s="1"/>
  <c r="Y5" i="54" a="1"/>
  <c r="Y5" i="54" s="1"/>
  <c r="Y8" i="54" a="1"/>
  <c r="Y8" i="54" s="1"/>
  <c r="Y10" i="54" a="1"/>
  <c r="Y10" i="54" s="1"/>
  <c r="Y9" i="54" a="1"/>
  <c r="Y9" i="54" s="1"/>
  <c r="Y3" i="54" a="1"/>
  <c r="Y3" i="54" s="1"/>
  <c r="Y7" i="54" a="1"/>
  <c r="Y7" i="54" s="1"/>
  <c r="Y4" i="54" a="1"/>
  <c r="Y4" i="54" s="1"/>
  <c r="X16" i="54"/>
  <c r="H19" i="62" s="1"/>
  <c r="Z2" i="54"/>
  <c r="Y13" i="54"/>
  <c r="H18" i="62" l="1"/>
  <c r="Y19" i="54" a="1"/>
  <c r="Y19" i="54" s="1"/>
  <c r="Y18" i="54" a="1"/>
  <c r="Y18" i="54" s="1"/>
  <c r="A26" i="63"/>
  <c r="E26" i="63" s="1"/>
  <c r="I25" i="63"/>
  <c r="G25" i="63"/>
  <c r="D25" i="63"/>
  <c r="H25" i="63"/>
  <c r="B25" i="63"/>
  <c r="J25" i="63"/>
  <c r="F25" i="63"/>
  <c r="H19" i="48"/>
  <c r="Y15" i="54"/>
  <c r="Z4" i="54" a="1"/>
  <c r="Z4" i="54" s="1"/>
  <c r="Z6" i="54" a="1"/>
  <c r="Z6" i="54" s="1"/>
  <c r="Z10" i="54" a="1"/>
  <c r="Z10" i="54" s="1"/>
  <c r="Z3" i="54" a="1"/>
  <c r="Z3" i="54" s="1"/>
  <c r="Z9" i="54" a="1"/>
  <c r="Z9" i="54" s="1"/>
  <c r="Z8" i="54" a="1"/>
  <c r="Z8" i="54" s="1"/>
  <c r="Z5" i="54" a="1"/>
  <c r="Z5" i="54" s="1"/>
  <c r="Z7" i="54" a="1"/>
  <c r="Z7" i="54" s="1"/>
  <c r="Y16" i="54"/>
  <c r="AA2" i="54"/>
  <c r="Z13" i="54"/>
  <c r="Y20" i="54" l="1"/>
  <c r="Z19" i="54" a="1"/>
  <c r="Z19" i="54" s="1"/>
  <c r="Z18" i="54" a="1"/>
  <c r="Z18" i="54" s="1"/>
  <c r="A27" i="63"/>
  <c r="E27" i="63" s="1"/>
  <c r="I26" i="63"/>
  <c r="G26" i="63"/>
  <c r="D26" i="63"/>
  <c r="J26" i="63"/>
  <c r="F26" i="63"/>
  <c r="H26" i="63"/>
  <c r="B26" i="63"/>
  <c r="B25" i="48"/>
  <c r="Z15" i="54"/>
  <c r="AA3" i="54" a="1"/>
  <c r="AA3" i="54" s="1"/>
  <c r="AA6" i="54" a="1"/>
  <c r="AA6" i="54" s="1"/>
  <c r="AA8" i="54" a="1"/>
  <c r="AA8" i="54" s="1"/>
  <c r="AA9" i="54" a="1"/>
  <c r="AA9" i="54" s="1"/>
  <c r="AA10" i="54" a="1"/>
  <c r="AA10" i="54" s="1"/>
  <c r="AA7" i="54" a="1"/>
  <c r="AA7" i="54" s="1"/>
  <c r="AA5" i="54" a="1"/>
  <c r="AA5" i="54" s="1"/>
  <c r="AA4" i="54" a="1"/>
  <c r="AA4" i="54" s="1"/>
  <c r="Z16" i="54"/>
  <c r="AB2" i="54"/>
  <c r="AA13" i="54"/>
  <c r="Z20" i="54" l="1"/>
  <c r="AA19" i="54" a="1"/>
  <c r="AA19" i="54" s="1"/>
  <c r="AA18" i="54" a="1"/>
  <c r="AA18" i="54" s="1"/>
  <c r="I27" i="63"/>
  <c r="G27" i="63"/>
  <c r="D27" i="63"/>
  <c r="H27" i="63"/>
  <c r="B27" i="63"/>
  <c r="J27" i="63"/>
  <c r="F27" i="63"/>
  <c r="A28" i="63"/>
  <c r="E28" i="63" s="1"/>
  <c r="AA15" i="54"/>
  <c r="AB7" i="54" a="1"/>
  <c r="AB7" i="54" s="1"/>
  <c r="AB5" i="54" a="1"/>
  <c r="AB5" i="54" s="1"/>
  <c r="AB8" i="54" a="1"/>
  <c r="AB8" i="54" s="1"/>
  <c r="AB3" i="54" a="1"/>
  <c r="AB3" i="54" s="1"/>
  <c r="AB6" i="54" a="1"/>
  <c r="AB6" i="54" s="1"/>
  <c r="AB10" i="54" a="1"/>
  <c r="AB10" i="54" s="1"/>
  <c r="AB9" i="54" a="1"/>
  <c r="AB9" i="54" s="1"/>
  <c r="AB4" i="54" a="1"/>
  <c r="AB4" i="54" s="1"/>
  <c r="AA16" i="54"/>
  <c r="AC2" i="54"/>
  <c r="AB13" i="54"/>
  <c r="AA20" i="54" l="1"/>
  <c r="AB19" i="54" a="1"/>
  <c r="AB19" i="54" s="1"/>
  <c r="AB18" i="54" a="1"/>
  <c r="AB18" i="54" s="1"/>
  <c r="I28" i="63"/>
  <c r="G28" i="63"/>
  <c r="D28" i="63"/>
  <c r="J28" i="63"/>
  <c r="F28" i="63"/>
  <c r="A29" i="63"/>
  <c r="E29" i="63" s="1"/>
  <c r="H28" i="63"/>
  <c r="B28" i="63"/>
  <c r="AB15" i="54"/>
  <c r="AC6" i="54" a="1"/>
  <c r="AC6" i="54" s="1"/>
  <c r="AC7" i="54" a="1"/>
  <c r="AC7" i="54" s="1"/>
  <c r="AC3" i="54" a="1"/>
  <c r="AC3" i="54" s="1"/>
  <c r="AC5" i="54" a="1"/>
  <c r="AC5" i="54" s="1"/>
  <c r="AC10" i="54" a="1"/>
  <c r="AC10" i="54" s="1"/>
  <c r="AC8" i="54" a="1"/>
  <c r="AC8" i="54" s="1"/>
  <c r="AC9" i="54" a="1"/>
  <c r="AC9" i="54" s="1"/>
  <c r="AC4" i="54" a="1"/>
  <c r="AC4" i="54" s="1"/>
  <c r="AB16" i="54"/>
  <c r="AD2" i="54"/>
  <c r="AC13" i="54"/>
  <c r="AB20" i="54" l="1"/>
  <c r="AC19" i="54" a="1"/>
  <c r="AC19" i="54" s="1"/>
  <c r="AC18" i="54" a="1"/>
  <c r="AC18" i="54" s="1"/>
  <c r="A30" i="63"/>
  <c r="E30" i="63" s="1"/>
  <c r="I29" i="63"/>
  <c r="G29" i="63"/>
  <c r="D29" i="63"/>
  <c r="H29" i="63"/>
  <c r="B29" i="63"/>
  <c r="J29" i="63"/>
  <c r="F29" i="63"/>
  <c r="AC15" i="54"/>
  <c r="AD6" i="54" a="1"/>
  <c r="AD6" i="54" s="1"/>
  <c r="AD10" i="54" a="1"/>
  <c r="AD10" i="54" s="1"/>
  <c r="AD3" i="54" a="1"/>
  <c r="AD3" i="54" s="1"/>
  <c r="AD9" i="54" a="1"/>
  <c r="AD9" i="54" s="1"/>
  <c r="AD8" i="54" a="1"/>
  <c r="AD8" i="54" s="1"/>
  <c r="AD5" i="54" a="1"/>
  <c r="AD5" i="54" s="1"/>
  <c r="AD7" i="54" a="1"/>
  <c r="AD7" i="54" s="1"/>
  <c r="AD4" i="54" a="1"/>
  <c r="AD4" i="54" s="1"/>
  <c r="AC16" i="54"/>
  <c r="AE2" i="54"/>
  <c r="AD13" i="54"/>
  <c r="AC20" i="54" l="1"/>
  <c r="AD19" i="54" a="1"/>
  <c r="AD19" i="54" s="1"/>
  <c r="AD20" i="54" s="1"/>
  <c r="AD18" i="54" a="1"/>
  <c r="AD18" i="54" s="1"/>
  <c r="A31" i="63"/>
  <c r="E31" i="63" s="1"/>
  <c r="I30" i="63"/>
  <c r="G30" i="63"/>
  <c r="D30" i="63"/>
  <c r="J30" i="63"/>
  <c r="F30" i="63"/>
  <c r="H30" i="63"/>
  <c r="B30" i="63"/>
  <c r="AD15" i="54"/>
  <c r="AE3" i="54" a="1"/>
  <c r="AE3" i="54" s="1"/>
  <c r="AE6" i="54" a="1"/>
  <c r="AE6" i="54" s="1"/>
  <c r="AE7" i="54" a="1"/>
  <c r="AE7" i="54" s="1"/>
  <c r="AE5" i="54" a="1"/>
  <c r="AE5" i="54" s="1"/>
  <c r="AE9" i="54" a="1"/>
  <c r="AE9" i="54" s="1"/>
  <c r="AE10" i="54" a="1"/>
  <c r="AE10" i="54" s="1"/>
  <c r="AE8" i="54" a="1"/>
  <c r="AE8" i="54" s="1"/>
  <c r="AE4" i="54" a="1"/>
  <c r="AE4" i="54" s="1"/>
  <c r="AD16" i="54"/>
  <c r="AF2" i="54"/>
  <c r="AE13" i="54"/>
  <c r="AE19" i="54" s="1" a="1"/>
  <c r="AE19" i="54" s="1"/>
  <c r="AE20" i="54" s="1"/>
  <c r="A32" i="63" l="1"/>
  <c r="E32" i="63" s="1"/>
  <c r="M9" i="63" s="1" a="1"/>
  <c r="M9" i="63" s="1"/>
  <c r="I31" i="63"/>
  <c r="G31" i="63"/>
  <c r="D31" i="63"/>
  <c r="H31" i="63"/>
  <c r="B31" i="63"/>
  <c r="J31" i="63"/>
  <c r="F31" i="63"/>
  <c r="AE15" i="54"/>
  <c r="AF4" i="54" a="1"/>
  <c r="AF4" i="54" s="1"/>
  <c r="AF3" i="54" a="1"/>
  <c r="AF3" i="54" s="1"/>
  <c r="AF9" i="54" a="1"/>
  <c r="AF9" i="54" s="1"/>
  <c r="AF6" i="54" a="1"/>
  <c r="AF6" i="54" s="1"/>
  <c r="AF10" i="54" a="1"/>
  <c r="AF10" i="54" s="1"/>
  <c r="AF7" i="54" a="1"/>
  <c r="AF7" i="54" s="1"/>
  <c r="AF5" i="54" a="1"/>
  <c r="AF5" i="54" s="1"/>
  <c r="AF8" i="54" a="1"/>
  <c r="AF8" i="54" s="1"/>
  <c r="AE16" i="54"/>
  <c r="AG2" i="54"/>
  <c r="AF13" i="54"/>
  <c r="AF19" i="54" s="1" a="1"/>
  <c r="AF19" i="54" s="1"/>
  <c r="AF20" i="54" s="1"/>
  <c r="M3" i="63" l="1" a="1"/>
  <c r="M3" i="63" s="1"/>
  <c r="M7" i="63" a="1"/>
  <c r="M7" i="63" s="1"/>
  <c r="M4" i="63" a="1"/>
  <c r="M4" i="63" s="1"/>
  <c r="M2" i="63" a="1"/>
  <c r="M2" i="63" s="1"/>
  <c r="M8" i="63" a="1"/>
  <c r="M8" i="63" s="1"/>
  <c r="M6" i="63" a="1"/>
  <c r="M6" i="63" s="1"/>
  <c r="M5" i="63" a="1"/>
  <c r="M5" i="63" s="1"/>
  <c r="M10" i="63" a="1"/>
  <c r="M10" i="63" s="1"/>
  <c r="M1" i="63" a="1"/>
  <c r="M1" i="63" s="1"/>
  <c r="I32" i="63"/>
  <c r="Q10" i="63" s="1" a="1"/>
  <c r="Q10" i="63" s="1"/>
  <c r="G32" i="63"/>
  <c r="O1" i="63" s="1" a="1"/>
  <c r="O1" i="63" s="1"/>
  <c r="D32" i="63"/>
  <c r="L23" i="63" s="1" a="1"/>
  <c r="L23" i="63" s="1"/>
  <c r="J32" i="63"/>
  <c r="R9" i="63" s="1" a="1"/>
  <c r="R9" i="63" s="1"/>
  <c r="F32" i="63"/>
  <c r="N4" i="63" s="1" a="1"/>
  <c r="N4" i="63" s="1"/>
  <c r="H32" i="63"/>
  <c r="P9" i="63" s="1" a="1"/>
  <c r="P9" i="63" s="1"/>
  <c r="B32" i="63"/>
  <c r="AF15" i="54"/>
  <c r="AG3" i="54" a="1"/>
  <c r="AG3" i="54" s="1"/>
  <c r="AG4" i="54" a="1"/>
  <c r="AG4" i="54" s="1"/>
  <c r="AG6" i="54" a="1"/>
  <c r="AG6" i="54" s="1"/>
  <c r="AG5" i="54" a="1"/>
  <c r="AG5" i="54" s="1"/>
  <c r="AG8" i="54" a="1"/>
  <c r="AG8" i="54" s="1"/>
  <c r="AG7" i="54" a="1"/>
  <c r="AG7" i="54" s="1"/>
  <c r="AG10" i="54" a="1"/>
  <c r="AG10" i="54" s="1"/>
  <c r="AG9" i="54" a="1"/>
  <c r="AG9" i="54" s="1"/>
  <c r="AF16" i="54"/>
  <c r="AH2" i="54"/>
  <c r="AG13" i="54"/>
  <c r="AG19" i="54" s="1" a="1"/>
  <c r="AG19" i="54" s="1"/>
  <c r="AG20" i="54" s="1"/>
  <c r="P1" i="63" l="1" a="1"/>
  <c r="P1" i="63" s="1"/>
  <c r="P3" i="63" a="1"/>
  <c r="P3" i="63" s="1"/>
  <c r="R8" i="63" a="1"/>
  <c r="R8" i="63" s="1"/>
  <c r="R7" i="63" a="1"/>
  <c r="R7" i="63" s="1"/>
  <c r="O5" i="63" a="1"/>
  <c r="O5" i="63" s="1"/>
  <c r="O4" i="63" a="1"/>
  <c r="O4" i="63" s="1"/>
  <c r="L11" i="63" a="1"/>
  <c r="L11" i="63" s="1"/>
  <c r="L5" i="63" a="1"/>
  <c r="L5" i="63" s="1"/>
  <c r="L15" i="63" a="1"/>
  <c r="L15" i="63" s="1"/>
  <c r="L21" i="63" a="1"/>
  <c r="L21" i="63" s="1"/>
  <c r="L4" i="63" a="1"/>
  <c r="L4" i="63" s="1"/>
  <c r="L18" i="63" a="1"/>
  <c r="L18" i="63" s="1"/>
  <c r="Q7" i="63" a="1"/>
  <c r="Q7" i="63" s="1"/>
  <c r="N7" i="63" a="1"/>
  <c r="N7" i="63" s="1"/>
  <c r="L3" i="63" a="1"/>
  <c r="L3" i="63" s="1"/>
  <c r="Q5" i="63" a="1"/>
  <c r="Q5" i="63" s="1"/>
  <c r="P2" i="63" a="1"/>
  <c r="P2" i="63" s="1"/>
  <c r="P5" i="63" a="1"/>
  <c r="P5" i="63" s="1"/>
  <c r="R4" i="63" a="1"/>
  <c r="R4" i="63" s="1"/>
  <c r="R2" i="63" a="1"/>
  <c r="R2" i="63" s="1"/>
  <c r="R10" i="63" a="1"/>
  <c r="R10" i="63" s="1"/>
  <c r="O10" i="63" a="1"/>
  <c r="O10" i="63" s="1"/>
  <c r="O8" i="63" a="1"/>
  <c r="O8" i="63" s="1"/>
  <c r="L2" i="63" a="1"/>
  <c r="L2" i="63" s="1"/>
  <c r="L19" i="63" a="1"/>
  <c r="L19" i="63" s="1"/>
  <c r="L20" i="63" a="1"/>
  <c r="L20" i="63" s="1"/>
  <c r="L13" i="63" a="1"/>
  <c r="L13" i="63" s="1"/>
  <c r="L17" i="63" a="1"/>
  <c r="L17" i="63" s="1"/>
  <c r="N9" i="63" a="1"/>
  <c r="N9" i="63" s="1"/>
  <c r="L14" i="63" a="1"/>
  <c r="L14" i="63" s="1"/>
  <c r="Q2" i="63" a="1"/>
  <c r="Q2" i="63" s="1"/>
  <c r="N8" i="63" a="1"/>
  <c r="N8" i="63" s="1"/>
  <c r="N6" i="63" a="1"/>
  <c r="N6" i="63" s="1"/>
  <c r="O7" i="63" a="1"/>
  <c r="O7" i="63" s="1"/>
  <c r="Q4" i="63" a="1"/>
  <c r="Q4" i="63" s="1"/>
  <c r="N3" i="63" a="1"/>
  <c r="N3" i="63" s="1"/>
  <c r="P6" i="63" a="1"/>
  <c r="P6" i="63" s="1"/>
  <c r="P8" i="63" a="1"/>
  <c r="P8" i="63" s="1"/>
  <c r="R5" i="63" a="1"/>
  <c r="R5" i="63" s="1"/>
  <c r="R6" i="63" a="1"/>
  <c r="R6" i="63" s="1"/>
  <c r="O9" i="63" a="1"/>
  <c r="O9" i="63" s="1"/>
  <c r="O6" i="63" a="1"/>
  <c r="O6" i="63" s="1"/>
  <c r="N1" i="63" a="1"/>
  <c r="N1" i="63" s="1"/>
  <c r="Q8" i="63" a="1"/>
  <c r="Q8" i="63" s="1"/>
  <c r="L8" i="63" a="1"/>
  <c r="L8" i="63" s="1"/>
  <c r="N2" i="63" a="1"/>
  <c r="N2" i="63" s="1"/>
  <c r="L6" i="63" a="1"/>
  <c r="L6" i="63" s="1"/>
  <c r="L12" i="63" a="1"/>
  <c r="L12" i="63" s="1"/>
  <c r="L7" i="63" a="1"/>
  <c r="L7" i="63" s="1"/>
  <c r="Q9" i="63" a="1"/>
  <c r="Q9" i="63" s="1"/>
  <c r="L10" i="63" a="1"/>
  <c r="L10" i="63" s="1"/>
  <c r="P10" i="63" a="1"/>
  <c r="P10" i="63" s="1"/>
  <c r="P7" i="63" a="1"/>
  <c r="P7" i="63" s="1"/>
  <c r="P4" i="63" a="1"/>
  <c r="P4" i="63" s="1"/>
  <c r="R3" i="63" a="1"/>
  <c r="R3" i="63" s="1"/>
  <c r="R1" i="63" a="1"/>
  <c r="R1" i="63" s="1"/>
  <c r="O3" i="63" a="1"/>
  <c r="O3" i="63" s="1"/>
  <c r="O2" i="63" a="1"/>
  <c r="O2" i="63" s="1"/>
  <c r="N5" i="63" a="1"/>
  <c r="N5" i="63" s="1"/>
  <c r="L16" i="63" a="1"/>
  <c r="L16" i="63" s="1"/>
  <c r="L22" i="63" a="1"/>
  <c r="L22" i="63" s="1"/>
  <c r="L9" i="63" a="1"/>
  <c r="L9" i="63" s="1"/>
  <c r="L1" i="63" a="1"/>
  <c r="L1" i="63" s="1"/>
  <c r="N10" i="63" a="1"/>
  <c r="N10" i="63" s="1"/>
  <c r="Q1" i="63" a="1"/>
  <c r="Q1" i="63" s="1"/>
  <c r="Q3" i="63" a="1"/>
  <c r="Q3" i="63" s="1"/>
  <c r="Q6" i="63" a="1"/>
  <c r="Q6" i="63" s="1"/>
  <c r="B31" i="48"/>
  <c r="AG15" i="54"/>
  <c r="AH5" i="54" a="1"/>
  <c r="AH5" i="54" s="1"/>
  <c r="B70" i="54" s="1" a="1"/>
  <c r="B70" i="54" s="1"/>
  <c r="AH7" i="54" a="1"/>
  <c r="AH7" i="54" s="1"/>
  <c r="B72" i="54" s="1" a="1"/>
  <c r="B72" i="54" s="1"/>
  <c r="AH3" i="54" a="1"/>
  <c r="AH3" i="54" s="1"/>
  <c r="AH8" i="54" a="1"/>
  <c r="AH8" i="54" s="1"/>
  <c r="B73" i="54" s="1" a="1"/>
  <c r="B73" i="54" s="1"/>
  <c r="AH4" i="54" a="1"/>
  <c r="AH4" i="54" s="1"/>
  <c r="E56" i="54" s="1" a="1"/>
  <c r="E56" i="54" s="1"/>
  <c r="AH9" i="54" a="1"/>
  <c r="AH9" i="54" s="1"/>
  <c r="B74" i="54" s="1" a="1"/>
  <c r="B74" i="54" s="1"/>
  <c r="AH6" i="54" a="1"/>
  <c r="AH6" i="54" s="1"/>
  <c r="B71" i="54" s="1" a="1"/>
  <c r="AH10" i="54" a="1"/>
  <c r="AH10" i="54" s="1"/>
  <c r="B75" i="54" s="1" a="1"/>
  <c r="B75" i="54" s="1"/>
  <c r="AG16" i="54"/>
  <c r="AH13" i="54"/>
  <c r="E58" i="54" l="1" a="1"/>
  <c r="E58" i="54" s="1"/>
  <c r="C71" i="54"/>
  <c r="E71" i="54"/>
  <c r="G71" i="54"/>
  <c r="I71" i="54"/>
  <c r="K71" i="54"/>
  <c r="B71" i="54"/>
  <c r="D71" i="54"/>
  <c r="F71" i="54"/>
  <c r="H71" i="54"/>
  <c r="J71" i="54"/>
  <c r="L71" i="54"/>
  <c r="B95" i="54" a="1"/>
  <c r="B95" i="54" s="1"/>
  <c r="D62" i="54" s="1"/>
  <c r="B94" i="54" a="1"/>
  <c r="B94" i="54" s="1"/>
  <c r="D61" i="54" s="1"/>
  <c r="B93" i="54" a="1"/>
  <c r="B93" i="54" s="1"/>
  <c r="D60" i="54" s="1"/>
  <c r="B92" i="54" a="1"/>
  <c r="B92" i="54" s="1"/>
  <c r="D59" i="54" s="1"/>
  <c r="B90" i="54" a="1"/>
  <c r="B90" i="54" s="1"/>
  <c r="D57" i="54" s="1"/>
  <c r="E60" i="54" a="1"/>
  <c r="E60" i="54" s="1"/>
  <c r="E57" i="54" a="1"/>
  <c r="E57" i="54" s="1"/>
  <c r="E59" i="54" a="1"/>
  <c r="E59" i="54" s="1"/>
  <c r="E62" i="54" a="1"/>
  <c r="E62" i="54" s="1"/>
  <c r="E61" i="54" a="1"/>
  <c r="E61" i="54" s="1"/>
  <c r="K30" i="51"/>
  <c r="O28" i="51"/>
  <c r="M28" i="51"/>
  <c r="L34" i="51"/>
  <c r="O34" i="51"/>
  <c r="L28" i="51"/>
  <c r="L33" i="51"/>
  <c r="M33" i="51"/>
  <c r="O31" i="51"/>
  <c r="O30" i="51"/>
  <c r="O33" i="51"/>
  <c r="L29" i="51"/>
  <c r="O29" i="51"/>
  <c r="K26" i="51"/>
  <c r="N26" i="51"/>
  <c r="N33" i="51"/>
  <c r="M32" i="51"/>
  <c r="N32" i="51"/>
  <c r="N28" i="51"/>
  <c r="M29" i="51"/>
  <c r="K34" i="51"/>
  <c r="L30" i="51"/>
  <c r="N27" i="51"/>
  <c r="O26" i="51"/>
  <c r="O32" i="51"/>
  <c r="K32" i="51"/>
  <c r="K33" i="51"/>
  <c r="N29" i="51"/>
  <c r="K29" i="51"/>
  <c r="O27" i="51"/>
  <c r="M27" i="51"/>
  <c r="M26" i="51"/>
  <c r="N34" i="51"/>
  <c r="K27" i="51"/>
  <c r="K28" i="51"/>
  <c r="N31" i="51"/>
  <c r="L31" i="51"/>
  <c r="N30" i="51"/>
  <c r="L27" i="51"/>
  <c r="L32" i="51"/>
  <c r="M30" i="51"/>
  <c r="M34" i="51"/>
  <c r="L26" i="51"/>
  <c r="K31" i="51"/>
  <c r="M31" i="51"/>
  <c r="H33" i="48"/>
  <c r="G33" i="48"/>
  <c r="AH19" i="54" a="1"/>
  <c r="AH19" i="54" s="1"/>
  <c r="E15" i="48"/>
  <c r="B21" i="62"/>
  <c r="D21" i="48"/>
  <c r="F33" i="48"/>
  <c r="C33" i="48"/>
  <c r="G15" i="48"/>
  <c r="F15" i="48"/>
  <c r="H21" i="62"/>
  <c r="E21" i="48"/>
  <c r="H27" i="48"/>
  <c r="H15" i="48"/>
  <c r="D27" i="48"/>
  <c r="G27" i="48"/>
  <c r="C21" i="62"/>
  <c r="D21" i="62"/>
  <c r="E21" i="62"/>
  <c r="H21" i="48"/>
  <c r="F27" i="48"/>
  <c r="B33" i="48"/>
  <c r="B27" i="48"/>
  <c r="E27" i="48"/>
  <c r="E33" i="48"/>
  <c r="C21" i="48"/>
  <c r="B21" i="48"/>
  <c r="F21" i="48"/>
  <c r="F21" i="62"/>
  <c r="G21" i="62"/>
  <c r="G21" i="48"/>
  <c r="C27" i="48"/>
  <c r="B69" i="54" a="1"/>
  <c r="B69" i="54" s="1"/>
  <c r="B89" i="54" s="1" a="1"/>
  <c r="B89" i="54" s="1"/>
  <c r="C31" i="48"/>
  <c r="AH15" i="54"/>
  <c r="AH16" i="54"/>
  <c r="D31" i="48" s="1"/>
  <c r="H31" i="48"/>
  <c r="H30" i="48"/>
  <c r="G31" i="48"/>
  <c r="G30" i="48"/>
  <c r="B24" i="48"/>
  <c r="D24" i="48"/>
  <c r="C24" i="48"/>
  <c r="E18" i="48"/>
  <c r="D25" i="48"/>
  <c r="C25" i="48"/>
  <c r="F18" i="48"/>
  <c r="G24" i="48"/>
  <c r="E25" i="48"/>
  <c r="G18" i="48"/>
  <c r="H25" i="48"/>
  <c r="E24" i="48"/>
  <c r="H18" i="48"/>
  <c r="F25" i="48"/>
  <c r="F24" i="48"/>
  <c r="G25" i="48"/>
  <c r="H24" i="48"/>
  <c r="B30" i="48"/>
  <c r="C30" i="48"/>
  <c r="D30" i="48"/>
  <c r="E30" i="48"/>
  <c r="E31" i="48"/>
  <c r="B91" i="54" l="1" a="1"/>
  <c r="B91" i="54" s="1"/>
  <c r="D58" i="54" s="1"/>
  <c r="I26" i="54"/>
  <c r="L32" i="54"/>
  <c r="K32" i="54"/>
  <c r="H30" i="54"/>
  <c r="B83" i="54" a="1"/>
  <c r="B83" i="54" s="1"/>
  <c r="B80" i="54" a="1"/>
  <c r="B80" i="54" s="1"/>
  <c r="L51" i="54" a="1"/>
  <c r="L51" i="54" s="1"/>
  <c r="AH20" i="54"/>
  <c r="L52" i="54" a="1"/>
  <c r="L52" i="54" s="1"/>
  <c r="D56" i="54"/>
  <c r="K30" i="54"/>
  <c r="L26" i="54"/>
  <c r="L30" i="54"/>
  <c r="J30" i="54"/>
  <c r="K27" i="54"/>
  <c r="K31" i="54"/>
  <c r="K29" i="54"/>
  <c r="K28" i="54"/>
  <c r="H26" i="54"/>
  <c r="I32" i="54"/>
  <c r="I31" i="54"/>
  <c r="I29" i="54"/>
  <c r="I28" i="54"/>
  <c r="K26" i="54"/>
  <c r="I30" i="54"/>
  <c r="L27" i="54"/>
  <c r="L31" i="54"/>
  <c r="L29" i="54"/>
  <c r="L28" i="54"/>
  <c r="J27" i="54"/>
  <c r="J32" i="54"/>
  <c r="J31" i="54"/>
  <c r="J29" i="54"/>
  <c r="J28" i="54"/>
  <c r="J26" i="54"/>
  <c r="H32" i="54"/>
  <c r="H31" i="54"/>
  <c r="H28" i="54"/>
  <c r="H29" i="54"/>
  <c r="F30" i="48"/>
  <c r="F31" i="48"/>
  <c r="D3" i="54" a="1"/>
  <c r="D3" i="54" s="1"/>
  <c r="B68" i="54" s="1" a="1"/>
  <c r="B68" i="54" s="1"/>
  <c r="K91" i="54" s="1"/>
  <c r="P81" i="54" l="1"/>
  <c r="N81" i="54"/>
  <c r="L81" i="54"/>
  <c r="J81" i="54"/>
  <c r="H81" i="54"/>
  <c r="F81" i="54"/>
  <c r="D81" i="54"/>
  <c r="B81" i="54"/>
  <c r="Q81" i="54"/>
  <c r="O81" i="54"/>
  <c r="M81" i="54"/>
  <c r="K81" i="54"/>
  <c r="I81" i="54"/>
  <c r="G81" i="54"/>
  <c r="E81" i="54"/>
  <c r="C81" i="54"/>
  <c r="P84" i="54"/>
  <c r="N84" i="54"/>
  <c r="L84" i="54"/>
  <c r="J84" i="54"/>
  <c r="H84" i="54"/>
  <c r="F84" i="54"/>
  <c r="D84" i="54"/>
  <c r="B84" i="54"/>
  <c r="Q84" i="54"/>
  <c r="O84" i="54"/>
  <c r="M84" i="54"/>
  <c r="K84" i="54"/>
  <c r="I84" i="54"/>
  <c r="G84" i="54"/>
  <c r="E84" i="54"/>
  <c r="C84" i="54"/>
  <c r="B88" i="54" a="1"/>
  <c r="B88" i="54" s="1"/>
  <c r="D55" i="54" s="1"/>
  <c r="D33" i="48"/>
  <c r="D16" i="54"/>
  <c r="AG18" i="54" a="1"/>
  <c r="AG18" i="54" s="1"/>
  <c r="AF18" i="54" a="1"/>
  <c r="AF18" i="54" s="1"/>
  <c r="AE18" i="54" a="1"/>
  <c r="AE18" i="54" s="1"/>
  <c r="AH18" i="54" a="1"/>
  <c r="AH18" i="54" s="1"/>
  <c r="B85" i="54" l="1" a="1"/>
  <c r="B85" i="54" s="1"/>
  <c r="J52" i="54" s="1"/>
  <c r="B82" i="54" a="1"/>
  <c r="B82" i="54" s="1"/>
  <c r="J51" i="54" s="1"/>
  <c r="B7" i="48"/>
  <c r="B7" i="62"/>
  <c r="H7" i="48"/>
  <c r="D7" i="48"/>
  <c r="H7" i="62"/>
  <c r="D7" i="62"/>
  <c r="E48" i="51" l="1" a="1"/>
  <c r="M48" i="51" s="1"/>
  <c r="J48" i="51" l="1"/>
  <c r="I48" i="51"/>
  <c r="P48" i="51"/>
  <c r="E48" i="51"/>
  <c r="F48" i="51"/>
  <c r="H48" i="51"/>
  <c r="N48" i="51"/>
  <c r="Q48" i="51"/>
  <c r="G48" i="51"/>
  <c r="O48" i="51"/>
  <c r="K48" i="51"/>
  <c r="L48" i="51"/>
  <c r="AC11" i="54" l="1" a="1"/>
  <c r="AC11" i="54" s="1"/>
  <c r="D11" i="54" a="1"/>
  <c r="D11" i="54" s="1"/>
  <c r="T11" i="54" a="1"/>
  <c r="T11" i="54" s="1"/>
  <c r="G11" i="54" a="1"/>
  <c r="G11" i="54" s="1"/>
  <c r="R11" i="54" a="1"/>
  <c r="R11" i="54" s="1"/>
  <c r="N11" i="54" a="1"/>
  <c r="N11" i="54" s="1"/>
  <c r="F11" i="54" a="1"/>
  <c r="F11" i="54" s="1"/>
  <c r="L11" i="54" a="1"/>
  <c r="L11" i="54" s="1"/>
  <c r="AE11" i="54" a="1"/>
  <c r="AE11" i="54" s="1"/>
  <c r="H11" i="54" a="1"/>
  <c r="H11" i="54" s="1"/>
  <c r="V11" i="54" a="1"/>
  <c r="V11" i="54" s="1"/>
  <c r="Z11" i="54" a="1"/>
  <c r="Z11" i="54" s="1"/>
  <c r="W11" i="54" a="1"/>
  <c r="W11" i="54" s="1"/>
  <c r="AD11" i="54" a="1"/>
  <c r="AD11" i="54" s="1"/>
  <c r="J11" i="54" a="1"/>
  <c r="J11" i="54" s="1"/>
  <c r="Q11" i="54" a="1"/>
  <c r="Q11" i="54" s="1"/>
  <c r="O11" i="54" a="1"/>
  <c r="O11" i="54" s="1"/>
  <c r="P11" i="54" a="1"/>
  <c r="P11" i="54" s="1"/>
  <c r="K11" i="54" a="1"/>
  <c r="K11" i="54" s="1"/>
  <c r="AF11" i="54" a="1"/>
  <c r="AF11" i="54" s="1"/>
  <c r="U11" i="54" a="1"/>
  <c r="U11" i="54" s="1"/>
  <c r="I11" i="54" a="1"/>
  <c r="I11" i="54" s="1"/>
  <c r="AH11" i="54" a="1"/>
  <c r="AH11" i="54" s="1"/>
  <c r="AG11" i="54" a="1"/>
  <c r="AG11" i="54" s="1"/>
  <c r="E11" i="54" a="1"/>
  <c r="E11" i="54" s="1"/>
  <c r="Y11" i="54" a="1"/>
  <c r="Y11" i="54" s="1"/>
  <c r="X11" i="54" a="1"/>
  <c r="X11" i="54" s="1"/>
  <c r="M11" i="54" a="1"/>
  <c r="M11" i="54" s="1"/>
  <c r="AB11" i="54" a="1"/>
  <c r="AB11" i="54" s="1"/>
  <c r="AA11" i="54" a="1"/>
  <c r="AA11" i="54" s="1"/>
  <c r="S11" i="54" a="1"/>
  <c r="S11" i="54" s="1"/>
  <c r="AA17" i="54" l="1"/>
  <c r="AA14" i="54"/>
  <c r="M17" i="54"/>
  <c r="M14" i="54"/>
  <c r="Y17" i="54"/>
  <c r="Y14" i="54"/>
  <c r="AG17" i="54"/>
  <c r="AG14" i="54"/>
  <c r="I17" i="54"/>
  <c r="I14" i="54"/>
  <c r="G5" i="48" s="1"/>
  <c r="AF17" i="54"/>
  <c r="AF14" i="54"/>
  <c r="P17" i="54"/>
  <c r="P14" i="54"/>
  <c r="Q17" i="54"/>
  <c r="Q14" i="54"/>
  <c r="AD17" i="54"/>
  <c r="AD14" i="54"/>
  <c r="Z17" i="54"/>
  <c r="Z14" i="54"/>
  <c r="H17" i="54"/>
  <c r="H14" i="54"/>
  <c r="L17" i="54"/>
  <c r="L14" i="54"/>
  <c r="N17" i="54"/>
  <c r="N14" i="54"/>
  <c r="G17" i="54"/>
  <c r="D14" i="48" s="1"/>
  <c r="G14" i="54"/>
  <c r="D17" i="54"/>
  <c r="D14" i="54"/>
  <c r="S17" i="54"/>
  <c r="S14" i="54"/>
  <c r="AB17" i="54"/>
  <c r="AB14" i="54"/>
  <c r="X17" i="54"/>
  <c r="X14" i="54"/>
  <c r="E17" i="54"/>
  <c r="E14" i="54"/>
  <c r="AH17" i="54"/>
  <c r="AH14" i="54"/>
  <c r="U17" i="54"/>
  <c r="D26" i="48" s="1"/>
  <c r="U14" i="54"/>
  <c r="K17" i="54"/>
  <c r="K14" i="54"/>
  <c r="O17" i="54"/>
  <c r="E20" i="62" s="1"/>
  <c r="O14" i="54"/>
  <c r="J17" i="54"/>
  <c r="J14" i="54"/>
  <c r="W17" i="54"/>
  <c r="W14" i="54"/>
  <c r="V17" i="54"/>
  <c r="E26" i="48" s="1"/>
  <c r="V14" i="54"/>
  <c r="AE17" i="54"/>
  <c r="G32" i="48" s="1"/>
  <c r="AE14" i="54"/>
  <c r="F17" i="54"/>
  <c r="F14" i="54"/>
  <c r="R17" i="54"/>
  <c r="H20" i="62" s="1"/>
  <c r="R14" i="54"/>
  <c r="T17" i="54"/>
  <c r="C26" i="48" s="1"/>
  <c r="T14" i="54"/>
  <c r="C23" i="48" s="1"/>
  <c r="AC17" i="54"/>
  <c r="E32" i="48" s="1"/>
  <c r="AC14" i="54"/>
  <c r="B76" i="54" a="1"/>
  <c r="B76" i="54" s="1"/>
  <c r="D8" i="62"/>
  <c r="G8" i="62"/>
  <c r="G8" i="48"/>
  <c r="E8" i="62"/>
  <c r="E8" i="48"/>
  <c r="F8" i="48"/>
  <c r="F8" i="62"/>
  <c r="B96" i="54" l="1" a="1"/>
  <c r="B96" i="54" s="1"/>
  <c r="D63" i="54" s="1"/>
  <c r="D17" i="48"/>
  <c r="D32" i="48"/>
  <c r="D20" i="48"/>
  <c r="B20" i="48"/>
  <c r="G20" i="62"/>
  <c r="F20" i="48"/>
  <c r="F14" i="48"/>
  <c r="C20" i="62"/>
  <c r="C11" i="48"/>
  <c r="D5" i="62"/>
  <c r="D5" i="48"/>
  <c r="B11" i="48"/>
  <c r="C5" i="62"/>
  <c r="C5" i="48"/>
  <c r="C8" i="62"/>
  <c r="C8" i="48"/>
  <c r="H5" i="48"/>
  <c r="B5" i="62"/>
  <c r="B5" i="48"/>
  <c r="H8" i="62"/>
  <c r="B8" i="62"/>
  <c r="B8" i="48"/>
  <c r="E5" i="62"/>
  <c r="E5" i="48"/>
  <c r="F5" i="62"/>
  <c r="F5" i="48"/>
  <c r="C14" i="48"/>
  <c r="B32" i="48"/>
  <c r="F20" i="62"/>
  <c r="G26" i="48"/>
  <c r="C32" i="48"/>
  <c r="G20" i="48"/>
  <c r="E14" i="48"/>
  <c r="B20" i="62"/>
  <c r="H26" i="48"/>
  <c r="H20" i="48"/>
  <c r="D20" i="62"/>
  <c r="B26" i="48"/>
  <c r="F32" i="48"/>
  <c r="F26" i="48"/>
  <c r="C20" i="48"/>
  <c r="H32" i="48"/>
  <c r="H14" i="48"/>
  <c r="E20" i="48"/>
  <c r="G14" i="48"/>
  <c r="H8" i="48"/>
  <c r="B14" i="48"/>
  <c r="E29" i="48"/>
  <c r="D17" i="62"/>
  <c r="H17" i="48"/>
  <c r="G29" i="48"/>
  <c r="H17" i="62"/>
  <c r="E23" i="48"/>
  <c r="F23" i="48"/>
  <c r="G11" i="48"/>
  <c r="E17" i="48"/>
  <c r="H11" i="48"/>
  <c r="G17" i="62"/>
  <c r="D23" i="48"/>
  <c r="G23" i="48"/>
  <c r="D29" i="48"/>
  <c r="E17" i="62"/>
  <c r="B23" i="48"/>
  <c r="G5" i="62"/>
  <c r="D11" i="48"/>
  <c r="B17" i="48"/>
  <c r="H5" i="62"/>
  <c r="E11" i="48"/>
  <c r="B29" i="48"/>
  <c r="F29" i="48"/>
  <c r="C17" i="62"/>
  <c r="G17" i="48"/>
  <c r="B17" i="62"/>
  <c r="F17" i="62"/>
  <c r="F17" i="48"/>
  <c r="H29" i="48"/>
  <c r="F11" i="48"/>
  <c r="H23" i="48"/>
  <c r="C17" i="48"/>
  <c r="C29" i="48"/>
  <c r="D8" i="48"/>
  <c r="B10" i="64" l="1"/>
  <c r="C10" i="64" s="1"/>
  <c r="E10" i="64" s="1"/>
  <c r="G10" i="64" s="1"/>
  <c r="B7" i="64"/>
  <c r="C7" i="64" s="1"/>
  <c r="E7" i="64" s="1"/>
  <c r="G7" i="64" s="1"/>
  <c r="B9" i="64"/>
  <c r="B8" i="64"/>
  <c r="B11" i="64"/>
  <c r="C11" i="64" s="1"/>
  <c r="E11" i="64" s="1"/>
  <c r="G11" i="64" s="1"/>
  <c r="B3" i="64"/>
  <c r="B5" i="64"/>
  <c r="C5" i="64" s="1"/>
  <c r="E5" i="64" s="1"/>
  <c r="G5" i="64" s="1"/>
  <c r="B4" i="64"/>
  <c r="C4" i="64" s="1"/>
  <c r="E4" i="64" s="1"/>
  <c r="G4" i="64" s="1"/>
  <c r="B6" i="64"/>
  <c r="F74" i="51"/>
  <c r="D82" i="51"/>
  <c r="F82" i="51" s="1"/>
  <c r="D80" i="51"/>
  <c r="E80" i="51" s="1"/>
  <c r="G80" i="51" s="1"/>
  <c r="D81" i="51"/>
  <c r="D79" i="51"/>
  <c r="F79" i="51" s="1"/>
  <c r="D84" i="51"/>
  <c r="D78" i="51"/>
  <c r="E78" i="51" s="1"/>
  <c r="E82" i="51"/>
  <c r="D83" i="51"/>
  <c r="D85" i="51"/>
  <c r="D86" i="51"/>
  <c r="H27" i="54"/>
  <c r="E83" i="51" l="1"/>
  <c r="F83" i="51"/>
  <c r="C8" i="64"/>
  <c r="D8" i="64"/>
  <c r="F34" i="54"/>
  <c r="G34" i="54"/>
  <c r="E81" i="51"/>
  <c r="F81" i="51"/>
  <c r="C6" i="64"/>
  <c r="D6" i="64"/>
  <c r="C9" i="64"/>
  <c r="D9" i="64"/>
  <c r="C3" i="64"/>
  <c r="D3" i="64"/>
  <c r="I80" i="51"/>
  <c r="F22" i="51"/>
  <c r="F20" i="51"/>
  <c r="F19" i="51"/>
  <c r="F21" i="51"/>
  <c r="F18" i="51"/>
  <c r="E84" i="51"/>
  <c r="F84" i="51"/>
  <c r="F78" i="51"/>
  <c r="G78" i="51" s="1"/>
  <c r="I78" i="51" s="1"/>
  <c r="E79" i="51"/>
  <c r="G79" i="51" s="1"/>
  <c r="F85" i="51"/>
  <c r="E85" i="51"/>
  <c r="F86" i="51"/>
  <c r="E86" i="51"/>
  <c r="G82" i="51"/>
  <c r="I27" i="54"/>
  <c r="E8" i="64" l="1"/>
  <c r="G8" i="64" s="1"/>
  <c r="G83" i="51"/>
  <c r="E6" i="64"/>
  <c r="G6" i="64" s="1"/>
  <c r="G81" i="51"/>
  <c r="C55" i="54"/>
  <c r="C57" i="54"/>
  <c r="E3" i="64"/>
  <c r="G3" i="64" s="1"/>
  <c r="E9" i="64"/>
  <c r="G9" i="64" s="1"/>
  <c r="E22" i="51"/>
  <c r="E18" i="51"/>
  <c r="E21" i="51"/>
  <c r="E20" i="51"/>
  <c r="E19" i="51"/>
  <c r="I82" i="51"/>
  <c r="H22" i="51"/>
  <c r="H20" i="51"/>
  <c r="H19" i="51"/>
  <c r="H21" i="51"/>
  <c r="H18" i="51"/>
  <c r="D22" i="51"/>
  <c r="D20" i="51"/>
  <c r="D19" i="51"/>
  <c r="D18" i="51"/>
  <c r="D21" i="51"/>
  <c r="I79" i="51"/>
  <c r="G84" i="51"/>
  <c r="G86" i="51"/>
  <c r="G85" i="51"/>
  <c r="I83" i="51" l="1"/>
  <c r="C60" i="54" s="1"/>
  <c r="I18" i="51"/>
  <c r="I20" i="51"/>
  <c r="I22" i="51"/>
  <c r="I21" i="51"/>
  <c r="I19" i="51"/>
  <c r="I81" i="51"/>
  <c r="C58" i="54" s="1"/>
  <c r="G18" i="51"/>
  <c r="G20" i="51"/>
  <c r="G22" i="51"/>
  <c r="G21" i="51"/>
  <c r="G19" i="51"/>
  <c r="C59" i="54"/>
  <c r="C56" i="54"/>
  <c r="I86" i="51"/>
  <c r="L22" i="51"/>
  <c r="L20" i="51"/>
  <c r="L21" i="51"/>
  <c r="L19" i="51"/>
  <c r="L18" i="51"/>
  <c r="I85" i="51"/>
  <c r="K21" i="51"/>
  <c r="K18" i="51"/>
  <c r="K22" i="51"/>
  <c r="K20" i="51"/>
  <c r="K19" i="51"/>
  <c r="I84" i="51"/>
  <c r="J22" i="51"/>
  <c r="J20" i="51"/>
  <c r="J19" i="51"/>
  <c r="J21" i="51"/>
  <c r="J18" i="51"/>
  <c r="C61" i="54" l="1"/>
  <c r="C62" i="54"/>
  <c r="C63" i="5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<sst xmlns="http://schemas.openxmlformats.org/spreadsheetml/2006/main" count="518" uniqueCount="147">
  <si>
    <t>김태규</t>
  </si>
  <si>
    <t>수</t>
  </si>
  <si>
    <t>이름</t>
  </si>
  <si>
    <t>일자</t>
  </si>
  <si>
    <t>양광택</t>
  </si>
  <si>
    <t>일</t>
  </si>
  <si>
    <t>안성용</t>
  </si>
  <si>
    <t>장영대</t>
  </si>
  <si>
    <t>화</t>
  </si>
  <si>
    <t>토</t>
  </si>
  <si>
    <t>오후조</t>
  </si>
  <si>
    <t>야간</t>
  </si>
  <si>
    <t>오전조</t>
  </si>
  <si>
    <t>번호</t>
  </si>
  <si>
    <t>한영희</t>
  </si>
  <si>
    <t>월</t>
  </si>
  <si>
    <t>금</t>
  </si>
  <si>
    <t>목</t>
  </si>
  <si>
    <t>위선옥</t>
  </si>
  <si>
    <t>오광웅</t>
  </si>
  <si>
    <t>신대진</t>
  </si>
  <si>
    <t>안영식</t>
  </si>
  <si>
    <t>CU편의점</t>
  </si>
  <si>
    <t>잔여시간처리</t>
  </si>
  <si>
    <t>한영희양광택</t>
  </si>
  <si>
    <t>야간근무</t>
  </si>
  <si>
    <t>안영식오광웅</t>
  </si>
  <si>
    <t>오후근무</t>
  </si>
  <si>
    <t>장영대신대진</t>
  </si>
  <si>
    <t>오전근무</t>
  </si>
  <si>
    <t>위선옥김태규</t>
  </si>
  <si>
    <t>근무일수</t>
    <phoneticPr fontId="6" type="noConversion"/>
  </si>
  <si>
    <t>휴일</t>
    <phoneticPr fontId="6" type="noConversion"/>
  </si>
  <si>
    <t>총근무시간</t>
    <phoneticPr fontId="6" type="noConversion"/>
  </si>
  <si>
    <r>
      <rPr>
        <sz val="10"/>
        <color rgb="FF000000"/>
        <rFont val="돋움"/>
        <family val="3"/>
        <charset val="129"/>
      </rPr>
      <t>야간조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돋움"/>
        <family val="3"/>
        <charset val="129"/>
      </rPr>
      <t>근무일</t>
    </r>
    <phoneticPr fontId="6" type="noConversion"/>
  </si>
  <si>
    <t>야간지원3</t>
    <phoneticPr fontId="6" type="noConversion"/>
  </si>
  <si>
    <t>시작일</t>
    <phoneticPr fontId="6" type="noConversion"/>
  </si>
  <si>
    <t>끝일</t>
    <phoneticPr fontId="6" type="noConversion"/>
  </si>
  <si>
    <r>
      <t>야간조</t>
    </r>
    <r>
      <rPr>
        <sz val="10"/>
        <color rgb="FF000000"/>
        <rFont val="돋움"/>
        <family val="3"/>
        <charset val="129"/>
      </rPr>
      <t xml:space="preserve"> 총근무신간</t>
    </r>
    <phoneticPr fontId="6" type="noConversion"/>
  </si>
  <si>
    <r>
      <rPr>
        <sz val="10"/>
        <color rgb="FF000000"/>
        <rFont val="돋움"/>
        <family val="3"/>
        <charset val="129"/>
      </rPr>
      <t>야간조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돋움"/>
        <family val="3"/>
        <charset val="129"/>
      </rPr>
      <t>월차시간</t>
    </r>
    <phoneticPr fontId="6" type="noConversion"/>
  </si>
  <si>
    <t>공  휴  일</t>
    <phoneticPr fontId="6" type="noConversion"/>
  </si>
  <si>
    <t>입력방식</t>
    <phoneticPr fontId="6" type="noConversion"/>
  </si>
  <si>
    <r>
      <t>2024년</t>
    </r>
    <r>
      <rPr>
        <sz val="10"/>
        <color rgb="FF000000"/>
        <rFont val="돋움"/>
        <family val="3"/>
        <charset val="129"/>
      </rPr>
      <t>10월3일</t>
    </r>
    <phoneticPr fontId="6" type="noConversion"/>
  </si>
  <si>
    <t>24/10/3</t>
    <phoneticPr fontId="6" type="noConversion"/>
  </si>
  <si>
    <t>해당연도일경우:10/3</t>
    <phoneticPr fontId="6" type="noConversion"/>
  </si>
  <si>
    <t>오전조</t>
    <phoneticPr fontId="6" type="noConversion"/>
  </si>
  <si>
    <t>오후조</t>
    <phoneticPr fontId="6" type="noConversion"/>
  </si>
  <si>
    <t xml:space="preserve">야간조 </t>
    <phoneticPr fontId="6" type="noConversion"/>
  </si>
  <si>
    <t>야간지원</t>
    <phoneticPr fontId="6" type="noConversion"/>
  </si>
  <si>
    <t>날'자</t>
    <phoneticPr fontId="6" type="noConversion"/>
  </si>
  <si>
    <t>근무자</t>
    <phoneticPr fontId="6" type="noConversion"/>
  </si>
  <si>
    <t>특정일근무</t>
    <phoneticPr fontId="6" type="noConversion"/>
  </si>
  <si>
    <t>2024년10월3일</t>
    <phoneticPr fontId="6" type="noConversion"/>
  </si>
  <si>
    <t>야간조 근무일</t>
    <phoneticPr fontId="6" type="noConversion"/>
  </si>
  <si>
    <t>야간조 총근무신간</t>
    <phoneticPr fontId="6" type="noConversion"/>
  </si>
  <si>
    <t>야간조 월차시간</t>
    <phoneticPr fontId="6" type="noConversion"/>
  </si>
  <si>
    <t>근무자1선택</t>
    <phoneticPr fontId="16" type="noConversion"/>
  </si>
  <si>
    <t>근무자2선택</t>
    <phoneticPr fontId="16" type="noConversion"/>
  </si>
  <si>
    <t>입력방식 10/4,10-4</t>
    <phoneticPr fontId="16" type="noConversion"/>
  </si>
  <si>
    <r>
      <t>CU</t>
    </r>
    <r>
      <rPr>
        <sz val="20"/>
        <color rgb="FF000000"/>
        <rFont val="새굴림"/>
        <family val="1"/>
        <charset val="129"/>
      </rPr>
      <t>편의점</t>
    </r>
    <phoneticPr fontId="6" type="noConversion"/>
  </si>
  <si>
    <t>오후지원</t>
    <phoneticPr fontId="16" type="noConversion"/>
  </si>
  <si>
    <t>날자</t>
    <phoneticPr fontId="16" type="noConversion"/>
  </si>
  <si>
    <t>근무자</t>
    <phoneticPr fontId="16" type="noConversion"/>
  </si>
  <si>
    <t>오전지원</t>
    <phoneticPr fontId="16" type="noConversion"/>
  </si>
  <si>
    <t>근무시간</t>
    <phoneticPr fontId="6" type="noConversion"/>
  </si>
  <si>
    <t>야간근무할증</t>
    <phoneticPr fontId="6" type="noConversion"/>
  </si>
  <si>
    <t>일요일</t>
    <phoneticPr fontId="6" type="noConversion"/>
  </si>
  <si>
    <t>월요일</t>
    <phoneticPr fontId="6" type="noConversion"/>
  </si>
  <si>
    <t>화요일</t>
    <phoneticPr fontId="6" type="noConversion"/>
  </si>
  <si>
    <t>수요일</t>
    <phoneticPr fontId="6" type="noConversion"/>
  </si>
  <si>
    <t>목요일</t>
    <phoneticPr fontId="6" type="noConversion"/>
  </si>
  <si>
    <t>금요일</t>
    <phoneticPr fontId="6" type="noConversion"/>
  </si>
  <si>
    <t>토요일</t>
    <phoneticPr fontId="6" type="noConversion"/>
  </si>
  <si>
    <t>휴뮤요일</t>
  </si>
  <si>
    <t>이름</t>
    <phoneticPr fontId="6" type="noConversion"/>
  </si>
  <si>
    <t>토요일</t>
  </si>
  <si>
    <t>금요일</t>
  </si>
  <si>
    <t>일요일</t>
  </si>
  <si>
    <t>목요일</t>
  </si>
  <si>
    <t>수요일</t>
  </si>
  <si>
    <t>월요일</t>
  </si>
  <si>
    <t>화요일</t>
  </si>
  <si>
    <t>휴무일지정(요일별외)</t>
    <phoneticPr fontId="6" type="noConversion"/>
  </si>
  <si>
    <t>근무시간합계</t>
    <phoneticPr fontId="6" type="noConversion"/>
  </si>
  <si>
    <t>법정근무시간</t>
    <phoneticPr fontId="6" type="noConversion"/>
  </si>
  <si>
    <t>여기에 날짜와 근무자가  표시되면  위쪽셀에 복사하지말고 타이핑해서 입력하세요</t>
    <phoneticPr fontId="16" type="noConversion"/>
  </si>
  <si>
    <t>야간조 근무가 맞지않을경우</t>
    <phoneticPr fontId="16" type="noConversion"/>
  </si>
  <si>
    <t>조편성</t>
    <phoneticPr fontId="16" type="noConversion"/>
  </si>
  <si>
    <r>
      <t>6</t>
    </r>
    <r>
      <rPr>
        <sz val="10"/>
        <color rgb="FF000000"/>
        <rFont val="새굴림"/>
        <family val="1"/>
        <charset val="129"/>
      </rPr>
      <t>주용</t>
    </r>
    <phoneticPr fontId="6" type="noConversion"/>
  </si>
  <si>
    <t>후무일추천</t>
    <phoneticPr fontId="6" type="noConversion"/>
  </si>
  <si>
    <t>`</t>
    <phoneticPr fontId="6" type="noConversion"/>
  </si>
  <si>
    <t>야간지원추천일</t>
    <phoneticPr fontId="16" type="noConversion"/>
  </si>
  <si>
    <t>VLOOKUP</t>
    <phoneticPr fontId="16" type="noConversion"/>
  </si>
  <si>
    <t>야간월차추가</t>
    <phoneticPr fontId="16" type="noConversion"/>
  </si>
  <si>
    <t>오전</t>
    <phoneticPr fontId="6" type="noConversion"/>
  </si>
  <si>
    <t>오후</t>
    <phoneticPr fontId="6" type="noConversion"/>
  </si>
  <si>
    <t>유효성문제</t>
    <phoneticPr fontId="6" type="noConversion"/>
  </si>
  <si>
    <t>오전오후조월차처리</t>
    <phoneticPr fontId="16" type="noConversion"/>
  </si>
  <si>
    <r>
      <rPr>
        <sz val="10"/>
        <color rgb="FF000000"/>
        <rFont val="맑은 고딕"/>
        <family val="3"/>
        <charset val="129"/>
      </rPr>
      <t>오전조</t>
    </r>
    <r>
      <rPr>
        <sz val="10"/>
        <color rgb="FF000000"/>
        <rFont val="Times New Roman"/>
        <family val="1"/>
      </rPr>
      <t xml:space="preserve"> </t>
    </r>
    <phoneticPr fontId="6" type="noConversion"/>
  </si>
  <si>
    <t>야간조</t>
    <phoneticPr fontId="6" type="noConversion"/>
  </si>
  <si>
    <t>CU편의점팀원</t>
    <phoneticPr fontId="16" type="noConversion"/>
  </si>
  <si>
    <t>월차처리추천일은전체휴일일중선택입니다 아래표시된날짜는 휴무일이고 노량색은 오후조 야간지원입니다 아래 (</t>
    <phoneticPr fontId="16" type="noConversion"/>
  </si>
  <si>
    <t xml:space="preserve">   )로 표시된날짜는제외해주세요</t>
    <phoneticPr fontId="16" type="noConversion"/>
  </si>
  <si>
    <t>날짜</t>
    <phoneticPr fontId="16" type="noConversion"/>
  </si>
  <si>
    <t>오후조 월차처리</t>
    <phoneticPr fontId="16" type="noConversion"/>
  </si>
  <si>
    <t>야간조 월차처리</t>
    <phoneticPr fontId="16" type="noConversion"/>
  </si>
  <si>
    <t>오전조 월차처리</t>
    <phoneticPr fontId="16" type="noConversion"/>
  </si>
  <si>
    <t>월차처리차이</t>
    <phoneticPr fontId="6" type="noConversion"/>
  </si>
  <si>
    <t>TEXTJOIN(", ", TRUE, IF($E$90:$K$96=D105, IF($E$89:$K$89&lt;&gt;"", $E$89:$K$89, ""), ""))</t>
  </si>
  <si>
    <t>공란</t>
    <phoneticPr fontId="6" type="noConversion"/>
  </si>
  <si>
    <t xml:space="preserve">야간조 </t>
    <phoneticPr fontId="16" type="noConversion"/>
  </si>
  <si>
    <t>신대진(4)</t>
  </si>
  <si>
    <t>②</t>
    <phoneticPr fontId="16" type="noConversion"/>
  </si>
  <si>
    <t>③</t>
    <phoneticPr fontId="6" type="noConversion"/>
  </si>
  <si>
    <t>④</t>
    <phoneticPr fontId="16" type="noConversion"/>
  </si>
  <si>
    <r>
      <rPr>
        <sz val="10"/>
        <color rgb="FF000000"/>
        <rFont val="Segoe UI Symbol"/>
        <family val="2"/>
      </rPr>
      <t>⑤</t>
    </r>
    <r>
      <rPr>
        <sz val="10"/>
        <color rgb="FF000000"/>
        <rFont val="맑은 고딕"/>
        <family val="3"/>
        <charset val="129"/>
      </rPr>
      <t>-2</t>
    </r>
    <phoneticPr fontId="6" type="noConversion"/>
  </si>
  <si>
    <t>⑤-1</t>
    <phoneticPr fontId="6" type="noConversion"/>
  </si>
  <si>
    <t>①-1</t>
    <phoneticPr fontId="6" type="noConversion"/>
  </si>
  <si>
    <t>①-2</t>
    <phoneticPr fontId="6" type="noConversion"/>
  </si>
  <si>
    <t>⑥</t>
    <phoneticPr fontId="16" type="noConversion"/>
  </si>
  <si>
    <t>⑦-3</t>
    <phoneticPr fontId="16" type="noConversion"/>
  </si>
  <si>
    <t>⑦-2</t>
    <phoneticPr fontId="16" type="noConversion"/>
  </si>
  <si>
    <t>⑦-1</t>
    <phoneticPr fontId="16" type="noConversion"/>
  </si>
  <si>
    <t>(같은날처리불가)</t>
    <phoneticPr fontId="16" type="noConversion"/>
  </si>
  <si>
    <t>야간지원</t>
    <phoneticPr fontId="16" type="noConversion"/>
  </si>
  <si>
    <t>TRIM(MID(SUBSTITUTE($B$83, ",", REPT(" ", LEN($B$83))), (COLUMN()-COLUMN($B$84))*LEN($B$83)+1, LEN($B$83)))</t>
    <phoneticPr fontId="16" type="noConversion"/>
  </si>
  <si>
    <t>AND(NOT(ISBLANK(B$84)), OR(WEEKDAY(B$84)=1, WEEKDAY(B$84)=7))</t>
    <phoneticPr fontId="16" type="noConversion"/>
  </si>
  <si>
    <t>안성용</t>
    <phoneticPr fontId="6" type="noConversion"/>
  </si>
  <si>
    <t>신대진</t>
    <phoneticPr fontId="6" type="noConversion"/>
  </si>
  <si>
    <t>김대화</t>
  </si>
  <si>
    <t>김대화</t>
    <phoneticPr fontId="6" type="noConversion"/>
  </si>
  <si>
    <t>종료일설정</t>
    <phoneticPr fontId="6" type="noConversion"/>
  </si>
  <si>
    <t>근무자</t>
    <phoneticPr fontId="6" type="noConversion"/>
  </si>
  <si>
    <t>종료일</t>
    <phoneticPr fontId="6" type="noConversion"/>
  </si>
  <si>
    <t>김제원</t>
  </si>
  <si>
    <t>김제원</t>
    <phoneticPr fontId="6" type="noConversion"/>
  </si>
  <si>
    <t>오광웅(4)</t>
  </si>
  <si>
    <t>한영희(4)</t>
  </si>
  <si>
    <t>장영대김대화</t>
  </si>
  <si>
    <t/>
  </si>
  <si>
    <t>오광웅김제원</t>
  </si>
  <si>
    <t>한영희신대진(4)</t>
  </si>
  <si>
    <t>신대진한영희(4)</t>
  </si>
  <si>
    <t>장영대</t>
    <phoneticPr fontId="6" type="noConversion"/>
  </si>
  <si>
    <t>오광웅김대화</t>
    <phoneticPr fontId="6" type="noConversion"/>
  </si>
  <si>
    <t>김제원김대화</t>
    <phoneticPr fontId="6" type="noConversion"/>
  </si>
  <si>
    <t>한영희신대진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</si>
</sst>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76" formatCode="General&quot;월&quot;"/>
    <numFmt numFmtId="177" formatCode="General&quot;년&quot;"/>
    <numFmt numFmtId="178" formatCode="d"/>
    <numFmt numFmtId="179" formatCode="m&quot;월&quot;\ d&quot;일&quot;;@"/>
    <numFmt numFmtId="180" formatCode="aaa"/>
    <numFmt numFmtId="181" formatCode="yyyy&quot;년&quot;\ m&quot;월&quot;\ d&quot;일&quot;;@"/>
    <numFmt numFmtId="182" formatCode="0_ "/>
    <numFmt numFmtId="183" formatCode="0_);[Red]\(0\)"/>
    <numFmt numFmtId="184" formatCode="General&quot;일&quot;"/>
  </numFmts>
  <fonts count="44" x14ac:knownFonts="1">
    <font>
      <sz val="10"/>
      <color rgb="FF000000"/>
      <name val="Times New Roman"/>
    </font>
    <font>
      <b/>
      <sz val="11"/>
      <color rgb="FF000000"/>
      <name val="맑은 고딕"/>
      <family val="3"/>
      <charset val="129"/>
    </font>
    <font>
      <sz val="12"/>
      <color rgb="FF000000"/>
      <name val="Times New Roman"/>
      <family val="1"/>
    </font>
    <font>
      <sz val="18"/>
      <color rgb="FF000000"/>
      <name val="Times New Roman"/>
      <family val="1"/>
    </font>
    <font>
      <sz val="11"/>
      <color rgb="FF000000"/>
      <name val="Times New Roman"/>
      <family val="1"/>
    </font>
    <font>
      <b/>
      <sz val="10"/>
      <color rgb="FF4EC9B0"/>
      <name val="맑은 고딕"/>
      <family val="3"/>
      <charset val="129"/>
    </font>
    <font>
      <sz val="8"/>
      <name val="돋움"/>
      <family val="3"/>
      <charset val="129"/>
    </font>
    <font>
      <sz val="10"/>
      <color rgb="FF000000"/>
      <name val="Times New Roman"/>
      <family val="1"/>
    </font>
    <font>
      <sz val="8"/>
      <color theme="1"/>
      <name val="Consolas"/>
      <family val="3"/>
    </font>
    <font>
      <sz val="10"/>
      <color rgb="FF000000"/>
      <name val="돋움"/>
      <family val="3"/>
      <charset val="129"/>
    </font>
    <font>
      <sz val="10"/>
      <color rgb="FF000000"/>
      <name val="Times New Roman"/>
      <family val="3"/>
      <charset val="129"/>
    </font>
    <font>
      <b/>
      <sz val="12"/>
      <color rgb="FF000000"/>
      <name val="바탕"/>
      <family val="1"/>
      <charset val="129"/>
    </font>
    <font>
      <sz val="10"/>
      <color rgb="FF000000"/>
      <name val="맑은 고딕"/>
      <family val="3"/>
      <charset val="129"/>
    </font>
    <font>
      <sz val="10"/>
      <color rgb="FF000000"/>
      <name val="바탕"/>
      <family val="1"/>
      <charset val="129"/>
    </font>
    <font>
      <sz val="8"/>
      <color rgb="FFDCDCDC"/>
      <name val="Consolas"/>
      <family val="3"/>
    </font>
    <font>
      <sz val="8"/>
      <color rgb="FF4EC9B0"/>
      <name val="Consolas"/>
      <family val="3"/>
    </font>
    <font>
      <sz val="8"/>
      <name val="바탕"/>
      <family val="1"/>
      <charset val="129"/>
    </font>
    <font>
      <sz val="10"/>
      <color rgb="FF000000"/>
      <name val="새굴림"/>
      <family val="1"/>
      <charset val="129"/>
    </font>
    <font>
      <b/>
      <sz val="12"/>
      <color rgb="FF000000"/>
      <name val="맑은 고딕"/>
      <family val="3"/>
      <charset val="129"/>
    </font>
    <font>
      <sz val="12"/>
      <color rgb="FF000000"/>
      <name val="맑은 고딕"/>
      <family val="3"/>
      <charset val="129"/>
    </font>
    <font>
      <sz val="12"/>
      <color theme="1"/>
      <name val="맑은 고딕"/>
      <family val="3"/>
      <charset val="129"/>
    </font>
    <font>
      <sz val="20"/>
      <color rgb="FF000000"/>
      <name val="Times New Roman"/>
      <family val="1"/>
    </font>
    <font>
      <sz val="20"/>
      <color rgb="FF000000"/>
      <name val="새굴림"/>
      <family val="1"/>
      <charset val="129"/>
    </font>
    <font>
      <sz val="10"/>
      <color rgb="FF000000"/>
      <name val="맑은 고딕"/>
      <family val="1"/>
      <charset val="129"/>
    </font>
    <font>
      <b/>
      <sz val="10"/>
      <color rgb="FF000000"/>
      <name val="Times New Roman"/>
      <family val="1"/>
    </font>
    <font>
      <sz val="8"/>
      <color rgb="FF569CD6"/>
      <name val="Consolas"/>
      <family val="3"/>
    </font>
    <font>
      <sz val="10"/>
      <color rgb="FF000000"/>
      <name val="Arial"/>
      <family val="2"/>
    </font>
    <font>
      <sz val="10"/>
      <name val="맑은 고딕"/>
      <family val="3"/>
      <charset val="129"/>
    </font>
    <font>
      <b/>
      <sz val="10"/>
      <name val="Times New Roman"/>
      <family val="1"/>
    </font>
    <font>
      <sz val="8"/>
      <name val="맑은 고딕"/>
      <family val="3"/>
      <charset val="129"/>
    </font>
    <font>
      <sz val="8"/>
      <name val="맑은 고딕"/>
      <family val="3"/>
      <charset val="129"/>
    </font>
    <font>
      <sz val="10"/>
      <color rgb="FF000000"/>
      <name val="Times New Roman"/>
      <family val="1"/>
      <charset val="129"/>
    </font>
    <font>
      <sz val="10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0"/>
      <color rgb="FFDCDCDC"/>
      <name val="맑은 고딕"/>
      <family val="3"/>
      <charset val="129"/>
    </font>
    <font>
      <b/>
      <sz val="10"/>
      <color rgb="FFDCDCDC"/>
      <name val="맑은 고딕"/>
      <family val="3"/>
      <charset val="129"/>
    </font>
    <font>
      <sz val="10"/>
      <color theme="1"/>
      <name val="Consolas"/>
      <family val="3"/>
    </font>
    <font>
      <sz val="10"/>
      <color rgb="FF000000"/>
      <name val="Segoe UI Symbol"/>
      <family val="2"/>
    </font>
    <font>
      <sz val="24"/>
      <color rgb="FF000000"/>
      <name val="Segoe UI Symbol"/>
      <family val="2"/>
    </font>
    <font>
      <sz val="10"/>
      <color rgb="FF000000"/>
      <name val="Times New Roman"/>
      <family val="2"/>
    </font>
    <font>
      <sz val="24"/>
      <color rgb="FF000000"/>
      <name val="맑은 고딕"/>
      <family val="3"/>
      <charset val="129"/>
    </font>
    <font>
      <sz val="22"/>
      <color rgb="FF000000"/>
      <name val="맑은 고딕"/>
      <family val="3"/>
      <charset val="129"/>
    </font>
    <font>
      <sz val="10"/>
      <color rgb="FF000000"/>
      <name val="Arial Unicode MS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161B2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 diagonalDown="1">
      <left style="thin">
        <color rgb="FF000000"/>
      </left>
      <right/>
      <top style="thin">
        <color rgb="FF000000"/>
      </top>
      <bottom style="thin">
        <color rgb="FF000000"/>
      </bottom>
      <diagonal style="thin">
        <color rgb="FF000000"/>
      </diagonal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91">
    <xf numFmtId="0" fontId="0" fillId="0" borderId="0" xfId="0">
      <alignment vertical="center"/>
    </xf>
    <xf numFmtId="0" fontId="1" fillId="0" borderId="1" xfId="0" applyFont="1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177" fontId="3" fillId="0" borderId="0" xfId="0" applyNumberFormat="1" applyFont="1">
      <alignment vertical="center"/>
    </xf>
    <xf numFmtId="176" fontId="3" fillId="0" borderId="0" xfId="0" applyNumberFormat="1" applyFont="1" applyAlignment="1">
      <alignment horizontal="right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1" fillId="0" borderId="3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center" wrapText="1"/>
    </xf>
    <xf numFmtId="178" fontId="1" fillId="0" borderId="1" xfId="0" applyNumberFormat="1" applyFont="1" applyBorder="1" applyAlignment="1">
      <alignment horizontal="center" vertical="top" shrinkToFit="1"/>
    </xf>
    <xf numFmtId="0" fontId="0" fillId="0" borderId="6" xfId="0" applyBorder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0" borderId="2" xfId="0" applyNumberFormat="1" applyBorder="1">
      <alignment vertical="center"/>
    </xf>
    <xf numFmtId="180" fontId="0" fillId="0" borderId="2" xfId="0" applyNumberFormat="1" applyBorder="1">
      <alignment vertical="center"/>
    </xf>
    <xf numFmtId="0" fontId="7" fillId="0" borderId="0" xfId="0" applyFont="1">
      <alignment vertical="center"/>
    </xf>
    <xf numFmtId="181" fontId="0" fillId="0" borderId="0" xfId="0" applyNumberFormat="1">
      <alignment vertical="center"/>
    </xf>
    <xf numFmtId="0" fontId="8" fillId="0" borderId="0" xfId="0" applyFont="1" applyAlignment="1">
      <alignment horizontal="left" vertical="center" inden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0" fillId="3" borderId="0" xfId="0" applyFill="1">
      <alignment vertical="center"/>
    </xf>
    <xf numFmtId="176" fontId="7" fillId="0" borderId="2" xfId="0" applyNumberFormat="1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left" vertical="center"/>
    </xf>
    <xf numFmtId="181" fontId="0" fillId="0" borderId="13" xfId="0" applyNumberFormat="1" applyBorder="1">
      <alignment vertical="center"/>
    </xf>
    <xf numFmtId="181" fontId="7" fillId="0" borderId="13" xfId="0" applyNumberFormat="1" applyFont="1" applyBorder="1">
      <alignment vertical="center"/>
    </xf>
    <xf numFmtId="181" fontId="0" fillId="0" borderId="14" xfId="0" applyNumberFormat="1" applyBorder="1">
      <alignment vertical="center"/>
    </xf>
    <xf numFmtId="181" fontId="0" fillId="0" borderId="15" xfId="0" applyNumberFormat="1" applyBorder="1">
      <alignment vertical="center"/>
    </xf>
    <xf numFmtId="0" fontId="11" fillId="0" borderId="12" xfId="0" applyFont="1" applyBorder="1" applyAlignment="1">
      <alignment horizontal="center" vertical="center"/>
    </xf>
    <xf numFmtId="0" fontId="12" fillId="0" borderId="0" xfId="0" applyFont="1">
      <alignment vertical="center"/>
    </xf>
    <xf numFmtId="49" fontId="7" fillId="0" borderId="0" xfId="0" applyNumberFormat="1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14" fontId="0" fillId="0" borderId="2" xfId="0" applyNumberFormat="1" applyBorder="1">
      <alignment vertical="center"/>
    </xf>
    <xf numFmtId="14" fontId="0" fillId="0" borderId="7" xfId="0" applyNumberFormat="1" applyBorder="1">
      <alignment vertical="center"/>
    </xf>
    <xf numFmtId="14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19" fillId="0" borderId="2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18" xfId="0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9" fillId="0" borderId="0" xfId="0" applyFont="1">
      <alignment vertical="center"/>
    </xf>
    <xf numFmtId="177" fontId="19" fillId="0" borderId="0" xfId="0" applyNumberFormat="1" applyFont="1" applyAlignment="1">
      <alignment horizontal="center" vertical="center"/>
    </xf>
    <xf numFmtId="176" fontId="19" fillId="0" borderId="0" xfId="0" applyNumberFormat="1" applyFont="1" applyAlignment="1">
      <alignment horizontal="left" vertical="center"/>
    </xf>
    <xf numFmtId="0" fontId="18" fillId="0" borderId="26" xfId="0" applyFont="1" applyBorder="1" applyAlignment="1">
      <alignment horizontal="center" vertical="top" wrapText="1"/>
    </xf>
    <xf numFmtId="0" fontId="18" fillId="0" borderId="2" xfId="0" applyFont="1" applyBorder="1" applyAlignment="1">
      <alignment horizontal="center" vertical="top" wrapText="1"/>
    </xf>
    <xf numFmtId="0" fontId="18" fillId="0" borderId="30" xfId="0" applyFont="1" applyBorder="1" applyAlignment="1">
      <alignment horizontal="center" vertical="top" wrapText="1"/>
    </xf>
    <xf numFmtId="0" fontId="18" fillId="0" borderId="27" xfId="0" applyFont="1" applyBorder="1" applyAlignment="1">
      <alignment horizontal="center" vertical="top" wrapText="1"/>
    </xf>
    <xf numFmtId="0" fontId="18" fillId="0" borderId="27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0" xfId="0" applyFont="1">
      <alignment vertical="center"/>
    </xf>
    <xf numFmtId="0" fontId="18" fillId="0" borderId="17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top" wrapText="1"/>
    </xf>
    <xf numFmtId="0" fontId="19" fillId="0" borderId="2" xfId="0" applyFont="1" applyBorder="1">
      <alignment vertical="center"/>
    </xf>
    <xf numFmtId="0" fontId="19" fillId="3" borderId="2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181" fontId="19" fillId="0" borderId="19" xfId="0" applyNumberFormat="1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0" fillId="0" borderId="22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13" fillId="0" borderId="2" xfId="0" applyFont="1" applyBorder="1" applyAlignment="1">
      <alignment horizontal="center" vertical="center"/>
    </xf>
    <xf numFmtId="182" fontId="24" fillId="0" borderId="2" xfId="0" applyNumberFormat="1" applyFont="1" applyBorder="1">
      <alignment vertical="center"/>
    </xf>
    <xf numFmtId="0" fontId="5" fillId="2" borderId="2" xfId="0" applyFont="1" applyFill="1" applyBorder="1" applyAlignment="1">
      <alignment horizontal="left" vertical="center" wrapText="1"/>
    </xf>
    <xf numFmtId="0" fontId="0" fillId="0" borderId="18" xfId="0" applyBorder="1">
      <alignment vertical="center"/>
    </xf>
    <xf numFmtId="0" fontId="13" fillId="0" borderId="19" xfId="0" applyFont="1" applyBorder="1" applyAlignment="1">
      <alignment horizontal="center" vertical="center"/>
    </xf>
    <xf numFmtId="0" fontId="0" fillId="0" borderId="21" xfId="0" applyBorder="1">
      <alignment vertical="center"/>
    </xf>
    <xf numFmtId="0" fontId="0" fillId="0" borderId="23" xfId="0" applyBorder="1">
      <alignment vertical="center"/>
    </xf>
    <xf numFmtId="14" fontId="0" fillId="0" borderId="24" xfId="0" applyNumberFormat="1" applyBorder="1">
      <alignment vertical="center"/>
    </xf>
    <xf numFmtId="0" fontId="0" fillId="0" borderId="17" xfId="0" applyBorder="1" applyAlignment="1">
      <alignment horizontal="center" vertical="center"/>
    </xf>
    <xf numFmtId="179" fontId="0" fillId="0" borderId="17" xfId="0" applyNumberFormat="1" applyBorder="1">
      <alignment vertical="center"/>
    </xf>
    <xf numFmtId="179" fontId="0" fillId="0" borderId="5" xfId="0" applyNumberFormat="1" applyBorder="1">
      <alignment vertical="center"/>
    </xf>
    <xf numFmtId="0" fontId="0" fillId="0" borderId="39" xfId="0" applyBorder="1" applyAlignment="1">
      <alignment horizontal="center" vertical="center"/>
    </xf>
    <xf numFmtId="0" fontId="0" fillId="0" borderId="39" xfId="0" applyBorder="1">
      <alignment vertical="center"/>
    </xf>
    <xf numFmtId="14" fontId="0" fillId="0" borderId="39" xfId="0" applyNumberFormat="1" applyBorder="1">
      <alignment vertical="center"/>
    </xf>
    <xf numFmtId="0" fontId="0" fillId="0" borderId="24" xfId="0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0" fillId="0" borderId="12" xfId="0" applyBorder="1">
      <alignment vertical="center"/>
    </xf>
    <xf numFmtId="0" fontId="1" fillId="0" borderId="0" xfId="0" applyFont="1" applyAlignment="1">
      <alignment horizontal="center" vertical="top" wrapText="1"/>
    </xf>
    <xf numFmtId="14" fontId="7" fillId="0" borderId="0" xfId="0" applyNumberFormat="1" applyFont="1">
      <alignment vertical="center"/>
    </xf>
    <xf numFmtId="182" fontId="0" fillId="0" borderId="0" xfId="0" applyNumberFormat="1">
      <alignment vertical="center"/>
    </xf>
    <xf numFmtId="14" fontId="25" fillId="0" borderId="0" xfId="0" applyNumberFormat="1" applyFont="1">
      <alignment vertical="center"/>
    </xf>
    <xf numFmtId="0" fontId="26" fillId="0" borderId="0" xfId="0" applyFont="1">
      <alignment vertical="center"/>
    </xf>
    <xf numFmtId="14" fontId="26" fillId="0" borderId="0" xfId="0" applyNumberFormat="1" applyFont="1">
      <alignment vertical="center"/>
    </xf>
    <xf numFmtId="0" fontId="0" fillId="0" borderId="43" xfId="0" applyBorder="1">
      <alignment vertical="center"/>
    </xf>
    <xf numFmtId="14" fontId="0" fillId="0" borderId="21" xfId="0" applyNumberFormat="1" applyBorder="1">
      <alignment vertical="center"/>
    </xf>
    <xf numFmtId="14" fontId="0" fillId="0" borderId="22" xfId="0" applyNumberFormat="1" applyBorder="1">
      <alignment vertical="center"/>
    </xf>
    <xf numFmtId="14" fontId="0" fillId="0" borderId="23" xfId="0" applyNumberFormat="1" applyBorder="1">
      <alignment vertical="center"/>
    </xf>
    <xf numFmtId="14" fontId="0" fillId="0" borderId="25" xfId="0" applyNumberFormat="1" applyBorder="1">
      <alignment vertical="center"/>
    </xf>
    <xf numFmtId="0" fontId="0" fillId="0" borderId="44" xfId="0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46" xfId="0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14" fontId="27" fillId="0" borderId="48" xfId="0" applyNumberFormat="1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14" fontId="27" fillId="0" borderId="50" xfId="0" applyNumberFormat="1" applyFont="1" applyBorder="1" applyAlignment="1">
      <alignment horizontal="center" vertical="center"/>
    </xf>
    <xf numFmtId="14" fontId="27" fillId="0" borderId="38" xfId="0" applyNumberFormat="1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27" fillId="0" borderId="2" xfId="0" applyFont="1" applyBorder="1">
      <alignment vertical="center"/>
    </xf>
    <xf numFmtId="0" fontId="27" fillId="0" borderId="2" xfId="0" applyFont="1" applyBorder="1" applyAlignment="1">
      <alignment horizontal="center" vertical="center"/>
    </xf>
    <xf numFmtId="0" fontId="29" fillId="0" borderId="2" xfId="0" applyFont="1" applyBorder="1">
      <alignment vertical="center"/>
    </xf>
    <xf numFmtId="0" fontId="30" fillId="0" borderId="2" xfId="0" applyFont="1" applyBorder="1">
      <alignment vertical="center"/>
    </xf>
    <xf numFmtId="0" fontId="31" fillId="0" borderId="0" xfId="0" applyFont="1">
      <alignment vertical="center"/>
    </xf>
    <xf numFmtId="0" fontId="0" fillId="0" borderId="43" xfId="0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58" xfId="0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horizontal="left" vertical="center"/>
    </xf>
    <xf numFmtId="14" fontId="4" fillId="0" borderId="0" xfId="0" applyNumberFormat="1" applyFont="1">
      <alignment vertical="center"/>
    </xf>
    <xf numFmtId="14" fontId="12" fillId="0" borderId="0" xfId="0" applyNumberFormat="1" applyFont="1">
      <alignment vertical="center"/>
    </xf>
    <xf numFmtId="14" fontId="12" fillId="0" borderId="2" xfId="0" applyNumberFormat="1" applyFont="1" applyBorder="1" applyAlignment="1">
      <alignment horizontal="center" vertical="center"/>
    </xf>
    <xf numFmtId="14" fontId="12" fillId="4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12" fillId="0" borderId="2" xfId="0" applyNumberFormat="1" applyFont="1" applyBorder="1">
      <alignment vertical="center"/>
    </xf>
    <xf numFmtId="14" fontId="3" fillId="0" borderId="0" xfId="0" applyNumberFormat="1" applyFont="1">
      <alignment vertical="center"/>
    </xf>
    <xf numFmtId="14" fontId="2" fillId="0" borderId="0" xfId="0" applyNumberFormat="1" applyFont="1">
      <alignment vertical="center"/>
    </xf>
    <xf numFmtId="14" fontId="12" fillId="0" borderId="17" xfId="0" applyNumberFormat="1" applyFont="1" applyBorder="1">
      <alignment vertical="center"/>
    </xf>
    <xf numFmtId="14" fontId="12" fillId="0" borderId="16" xfId="0" applyNumberFormat="1" applyFont="1" applyBorder="1">
      <alignment vertical="center"/>
    </xf>
    <xf numFmtId="14" fontId="32" fillId="0" borderId="0" xfId="0" applyNumberFormat="1" applyFont="1">
      <alignment vertical="center"/>
    </xf>
    <xf numFmtId="14" fontId="35" fillId="0" borderId="0" xfId="0" applyNumberFormat="1" applyFont="1">
      <alignment vertical="center"/>
    </xf>
    <xf numFmtId="14" fontId="33" fillId="0" borderId="0" xfId="0" applyNumberFormat="1" applyFont="1" applyAlignment="1">
      <alignment horizontal="center" vertical="center"/>
    </xf>
    <xf numFmtId="14" fontId="35" fillId="0" borderId="0" xfId="0" applyNumberFormat="1" applyFont="1" applyAlignment="1">
      <alignment horizontal="center" vertical="center"/>
    </xf>
    <xf numFmtId="14" fontId="12" fillId="0" borderId="12" xfId="0" applyNumberFormat="1" applyFont="1" applyBorder="1" applyAlignment="1">
      <alignment horizontal="center" vertical="center"/>
    </xf>
    <xf numFmtId="14" fontId="12" fillId="0" borderId="18" xfId="0" applyNumberFormat="1" applyFont="1" applyBorder="1" applyAlignment="1">
      <alignment horizontal="center" vertical="center"/>
    </xf>
    <xf numFmtId="14" fontId="12" fillId="0" borderId="20" xfId="0" applyNumberFormat="1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left" vertical="center"/>
    </xf>
    <xf numFmtId="14" fontId="34" fillId="0" borderId="0" xfId="0" applyNumberFormat="1" applyFont="1" applyAlignment="1">
      <alignment horizontal="left" vertical="center"/>
    </xf>
    <xf numFmtId="14" fontId="33" fillId="0" borderId="0" xfId="0" applyNumberFormat="1" applyFont="1" applyAlignment="1">
      <alignment horizontal="left" vertical="center"/>
    </xf>
    <xf numFmtId="14" fontId="12" fillId="4" borderId="0" xfId="0" applyNumberFormat="1" applyFont="1" applyFill="1">
      <alignment vertical="center"/>
    </xf>
    <xf numFmtId="14" fontId="12" fillId="0" borderId="61" xfId="0" applyNumberFormat="1" applyFont="1" applyBorder="1">
      <alignment vertical="center"/>
    </xf>
    <xf numFmtId="14" fontId="12" fillId="0" borderId="62" xfId="0" applyNumberFormat="1" applyFont="1" applyBorder="1">
      <alignment vertical="center"/>
    </xf>
    <xf numFmtId="0" fontId="7" fillId="0" borderId="2" xfId="0" applyFont="1" applyBorder="1">
      <alignment vertical="center"/>
    </xf>
    <xf numFmtId="0" fontId="0" fillId="0" borderId="63" xfId="0" applyBorder="1" applyAlignment="1">
      <alignment horizontal="center" vertical="center"/>
    </xf>
    <xf numFmtId="176" fontId="17" fillId="0" borderId="64" xfId="0" applyNumberFormat="1" applyFont="1" applyBorder="1" applyAlignment="1">
      <alignment horizontal="center" vertical="center"/>
    </xf>
    <xf numFmtId="181" fontId="12" fillId="0" borderId="64" xfId="0" applyNumberFormat="1" applyFont="1" applyBorder="1">
      <alignment vertical="center"/>
    </xf>
    <xf numFmtId="181" fontId="17" fillId="0" borderId="64" xfId="0" applyNumberFormat="1" applyFont="1" applyBorder="1">
      <alignment vertical="center"/>
    </xf>
    <xf numFmtId="181" fontId="23" fillId="0" borderId="64" xfId="0" applyNumberFormat="1" applyFont="1" applyBorder="1">
      <alignment vertical="center"/>
    </xf>
    <xf numFmtId="0" fontId="17" fillId="0" borderId="64" xfId="0" applyFont="1" applyBorder="1">
      <alignment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16" xfId="0" applyBorder="1">
      <alignment vertical="center"/>
    </xf>
    <xf numFmtId="183" fontId="12" fillId="0" borderId="0" xfId="0" applyNumberFormat="1" applyFont="1">
      <alignment vertical="center"/>
    </xf>
    <xf numFmtId="49" fontId="0" fillId="0" borderId="2" xfId="0" applyNumberFormat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14" fontId="27" fillId="0" borderId="0" xfId="0" applyNumberFormat="1" applyFont="1" applyAlignment="1">
      <alignment horizontal="center" vertical="center"/>
    </xf>
    <xf numFmtId="0" fontId="0" fillId="7" borderId="63" xfId="0" applyFill="1" applyBorder="1" applyAlignment="1">
      <alignment horizontal="center" vertical="center"/>
    </xf>
    <xf numFmtId="176" fontId="17" fillId="7" borderId="64" xfId="0" applyNumberFormat="1" applyFont="1" applyFill="1" applyBorder="1" applyAlignment="1">
      <alignment horizontal="center" vertical="center"/>
    </xf>
    <xf numFmtId="181" fontId="12" fillId="7" borderId="64" xfId="0" applyNumberFormat="1" applyFont="1" applyFill="1" applyBorder="1">
      <alignment vertical="center"/>
    </xf>
    <xf numFmtId="181" fontId="17" fillId="7" borderId="64" xfId="0" applyNumberFormat="1" applyFont="1" applyFill="1" applyBorder="1">
      <alignment vertical="center"/>
    </xf>
    <xf numFmtId="181" fontId="23" fillId="7" borderId="64" xfId="0" applyNumberFormat="1" applyFont="1" applyFill="1" applyBorder="1">
      <alignment vertical="center"/>
    </xf>
    <xf numFmtId="0" fontId="17" fillId="7" borderId="64" xfId="0" applyFont="1" applyFill="1" applyBorder="1">
      <alignment vertical="center"/>
    </xf>
    <xf numFmtId="0" fontId="0" fillId="7" borderId="65" xfId="0" applyFill="1" applyBorder="1" applyAlignment="1">
      <alignment horizontal="center" vertical="center"/>
    </xf>
    <xf numFmtId="183" fontId="0" fillId="7" borderId="2" xfId="0" applyNumberFormat="1" applyFill="1" applyBorder="1" applyAlignment="1">
      <alignment horizontal="center" vertical="center"/>
    </xf>
    <xf numFmtId="0" fontId="0" fillId="7" borderId="2" xfId="0" applyFill="1" applyBorder="1">
      <alignment vertical="center"/>
    </xf>
    <xf numFmtId="0" fontId="7" fillId="7" borderId="2" xfId="0" applyFont="1" applyFill="1" applyBorder="1">
      <alignment vertical="center"/>
    </xf>
    <xf numFmtId="0" fontId="0" fillId="7" borderId="66" xfId="0" applyFill="1" applyBorder="1" applyAlignment="1">
      <alignment horizontal="center" vertical="center"/>
    </xf>
    <xf numFmtId="0" fontId="0" fillId="7" borderId="16" xfId="0" applyFill="1" applyBorder="1">
      <alignment vertical="center"/>
    </xf>
    <xf numFmtId="49" fontId="12" fillId="0" borderId="7" xfId="0" applyNumberFormat="1" applyFont="1" applyBorder="1">
      <alignment vertical="center"/>
    </xf>
    <xf numFmtId="14" fontId="36" fillId="0" borderId="0" xfId="0" applyNumberFormat="1" applyFont="1" applyAlignment="1">
      <alignment horizontal="left" vertical="center"/>
    </xf>
    <xf numFmtId="14" fontId="33" fillId="7" borderId="0" xfId="0" applyNumberFormat="1" applyFont="1" applyFill="1">
      <alignment vertical="center"/>
    </xf>
    <xf numFmtId="14" fontId="33" fillId="7" borderId="2" xfId="0" applyNumberFormat="1" applyFont="1" applyFill="1" applyBorder="1">
      <alignment vertical="center"/>
    </xf>
    <xf numFmtId="14" fontId="37" fillId="0" borderId="0" xfId="0" applyNumberFormat="1" applyFont="1" applyAlignment="1">
      <alignment horizontal="center" vertical="center"/>
    </xf>
    <xf numFmtId="14" fontId="34" fillId="0" borderId="2" xfId="0" applyNumberFormat="1" applyFont="1" applyBorder="1" applyAlignment="1">
      <alignment horizontal="left" vertical="center"/>
    </xf>
    <xf numFmtId="49" fontId="33" fillId="0" borderId="2" xfId="0" applyNumberFormat="1" applyFont="1" applyBorder="1" applyAlignment="1">
      <alignment horizontal="left" vertical="center"/>
    </xf>
    <xf numFmtId="14" fontId="12" fillId="7" borderId="0" xfId="0" applyNumberFormat="1" applyFont="1" applyFill="1">
      <alignment vertical="center"/>
    </xf>
    <xf numFmtId="14" fontId="12" fillId="7" borderId="67" xfId="0" applyNumberFormat="1" applyFont="1" applyFill="1" applyBorder="1" applyAlignment="1">
      <alignment horizontal="center" vertical="center"/>
    </xf>
    <xf numFmtId="14" fontId="12" fillId="7" borderId="68" xfId="0" applyNumberFormat="1" applyFont="1" applyFill="1" applyBorder="1" applyAlignment="1">
      <alignment horizontal="center" vertical="center"/>
    </xf>
    <xf numFmtId="14" fontId="12" fillId="7" borderId="0" xfId="0" applyNumberFormat="1" applyFont="1" applyFill="1" applyAlignment="1">
      <alignment horizontal="center" vertical="center"/>
    </xf>
    <xf numFmtId="14" fontId="12" fillId="7" borderId="68" xfId="0" applyNumberFormat="1" applyFont="1" applyFill="1" applyBorder="1">
      <alignment vertical="center"/>
    </xf>
    <xf numFmtId="49" fontId="0" fillId="0" borderId="2" xfId="0" applyNumberFormat="1" applyBorder="1" applyAlignment="1" applyProtection="1">
      <alignment horizontal="center" vertical="center"/>
      <protection locked="0"/>
    </xf>
    <xf numFmtId="49" fontId="17" fillId="0" borderId="2" xfId="0" applyNumberFormat="1" applyFont="1" applyBorder="1" applyAlignment="1" applyProtection="1">
      <alignment horizontal="center" vertical="center"/>
      <protection locked="0"/>
    </xf>
    <xf numFmtId="14" fontId="0" fillId="6" borderId="2" xfId="0" applyNumberFormat="1" applyFill="1" applyBorder="1" applyAlignment="1" applyProtection="1">
      <alignment horizontal="center" vertical="center"/>
      <protection locked="0"/>
    </xf>
    <xf numFmtId="14" fontId="7" fillId="6" borderId="2" xfId="0" applyNumberFormat="1" applyFont="1" applyFill="1" applyBorder="1" applyAlignment="1" applyProtection="1">
      <alignment horizontal="center" vertical="center"/>
      <protection locked="0"/>
    </xf>
    <xf numFmtId="14" fontId="7" fillId="6" borderId="22" xfId="0" applyNumberFormat="1" applyFont="1" applyFill="1" applyBorder="1" applyAlignment="1" applyProtection="1">
      <alignment horizontal="center" vertical="center"/>
      <protection locked="0"/>
    </xf>
    <xf numFmtId="14" fontId="0" fillId="6" borderId="22" xfId="0" applyNumberFormat="1" applyFill="1" applyBorder="1" applyAlignment="1" applyProtection="1">
      <alignment horizontal="center" vertical="center"/>
      <protection locked="0"/>
    </xf>
    <xf numFmtId="14" fontId="0" fillId="6" borderId="24" xfId="0" applyNumberFormat="1" applyFill="1" applyBorder="1" applyAlignment="1" applyProtection="1">
      <alignment horizontal="center" vertical="center"/>
      <protection locked="0"/>
    </xf>
    <xf numFmtId="14" fontId="7" fillId="6" borderId="24" xfId="0" applyNumberFormat="1" applyFont="1" applyFill="1" applyBorder="1" applyAlignment="1" applyProtection="1">
      <alignment horizontal="center" vertical="center"/>
      <protection locked="0"/>
    </xf>
    <xf numFmtId="14" fontId="0" fillId="6" borderId="25" xfId="0" applyNumberFormat="1" applyFill="1" applyBorder="1" applyAlignment="1" applyProtection="1">
      <alignment horizontal="center" vertical="center"/>
      <protection locked="0"/>
    </xf>
    <xf numFmtId="14" fontId="0" fillId="6" borderId="2" xfId="0" applyNumberFormat="1" applyFill="1" applyBorder="1" applyProtection="1">
      <alignment vertical="center"/>
      <protection locked="0"/>
    </xf>
    <xf numFmtId="14" fontId="7" fillId="6" borderId="7" xfId="0" applyNumberFormat="1" applyFont="1" applyFill="1" applyBorder="1" applyProtection="1">
      <alignment vertical="center"/>
      <protection locked="0"/>
    </xf>
    <xf numFmtId="0" fontId="0" fillId="6" borderId="7" xfId="0" applyFill="1" applyBorder="1" applyProtection="1">
      <alignment vertical="center"/>
      <protection locked="0"/>
    </xf>
    <xf numFmtId="14" fontId="7" fillId="6" borderId="2" xfId="0" applyNumberFormat="1" applyFont="1" applyFill="1" applyBorder="1" applyProtection="1">
      <alignment vertical="center"/>
      <protection locked="0"/>
    </xf>
    <xf numFmtId="14" fontId="0" fillId="6" borderId="24" xfId="0" applyNumberFormat="1" applyFill="1" applyBorder="1" applyProtection="1">
      <alignment vertical="center"/>
      <protection locked="0"/>
    </xf>
    <xf numFmtId="0" fontId="0" fillId="6" borderId="41" xfId="0" applyFill="1" applyBorder="1" applyProtection="1">
      <alignment vertical="center"/>
      <protection locked="0"/>
    </xf>
    <xf numFmtId="0" fontId="28" fillId="6" borderId="17" xfId="0" applyFont="1" applyFill="1" applyBorder="1" applyAlignment="1" applyProtection="1">
      <alignment horizontal="center" vertical="center"/>
      <protection locked="0"/>
    </xf>
    <xf numFmtId="0" fontId="28" fillId="6" borderId="56" xfId="0" applyFont="1" applyFill="1" applyBorder="1" applyAlignment="1" applyProtection="1">
      <alignment horizontal="center" vertical="center"/>
      <protection locked="0"/>
    </xf>
    <xf numFmtId="14" fontId="12" fillId="5" borderId="12" xfId="0" applyNumberFormat="1" applyFont="1" applyFill="1" applyBorder="1" applyAlignment="1" applyProtection="1">
      <alignment horizontal="center" vertical="center"/>
      <protection locked="0"/>
    </xf>
    <xf numFmtId="14" fontId="12" fillId="5" borderId="21" xfId="0" applyNumberFormat="1" applyFont="1" applyFill="1" applyBorder="1" applyAlignment="1" applyProtection="1">
      <alignment horizontal="center" vertical="center"/>
      <protection locked="0"/>
    </xf>
    <xf numFmtId="14" fontId="12" fillId="5" borderId="7" xfId="0" applyNumberFormat="1" applyFont="1" applyFill="1" applyBorder="1" applyAlignment="1" applyProtection="1">
      <alignment horizontal="center" vertical="center"/>
      <protection locked="0"/>
    </xf>
    <xf numFmtId="14" fontId="12" fillId="5" borderId="42" xfId="0" applyNumberFormat="1" applyFont="1" applyFill="1" applyBorder="1" applyAlignment="1" applyProtection="1">
      <alignment horizontal="center" vertical="center"/>
      <protection locked="0"/>
    </xf>
    <xf numFmtId="14" fontId="12" fillId="5" borderId="25" xfId="0" applyNumberFormat="1" applyFont="1" applyFill="1" applyBorder="1" applyAlignment="1" applyProtection="1">
      <alignment horizontal="center" vertical="center"/>
      <protection locked="0"/>
    </xf>
    <xf numFmtId="14" fontId="12" fillId="6" borderId="21" xfId="0" applyNumberFormat="1" applyFont="1" applyFill="1" applyBorder="1" applyAlignment="1" applyProtection="1">
      <alignment horizontal="center" vertical="center"/>
      <protection locked="0"/>
    </xf>
    <xf numFmtId="14" fontId="12" fillId="6" borderId="22" xfId="0" applyNumberFormat="1" applyFont="1" applyFill="1" applyBorder="1" applyAlignment="1" applyProtection="1">
      <alignment horizontal="center" vertical="center"/>
      <protection locked="0"/>
    </xf>
    <xf numFmtId="14" fontId="12" fillId="6" borderId="59" xfId="0" applyNumberFormat="1" applyFont="1" applyFill="1" applyBorder="1" applyAlignment="1" applyProtection="1">
      <alignment horizontal="center" vertical="center"/>
      <protection locked="0"/>
    </xf>
    <xf numFmtId="14" fontId="12" fillId="6" borderId="60" xfId="0" applyNumberFormat="1" applyFont="1" applyFill="1" applyBorder="1" applyAlignment="1" applyProtection="1">
      <alignment horizontal="center" vertical="center"/>
      <protection locked="0"/>
    </xf>
    <xf numFmtId="14" fontId="12" fillId="6" borderId="18" xfId="0" applyNumberFormat="1" applyFont="1" applyFill="1" applyBorder="1" applyAlignment="1" applyProtection="1">
      <alignment horizontal="center" vertical="center"/>
      <protection locked="0"/>
    </xf>
    <xf numFmtId="14" fontId="12" fillId="6" borderId="20" xfId="0" applyNumberFormat="1" applyFont="1" applyFill="1" applyBorder="1" applyAlignment="1" applyProtection="1">
      <alignment horizontal="center" vertical="center"/>
      <protection locked="0"/>
    </xf>
    <xf numFmtId="14" fontId="12" fillId="6" borderId="20" xfId="0" applyNumberFormat="1" applyFont="1" applyFill="1" applyBorder="1" applyProtection="1">
      <alignment vertical="center"/>
      <protection locked="0"/>
    </xf>
    <xf numFmtId="14" fontId="12" fillId="6" borderId="22" xfId="0" applyNumberFormat="1" applyFont="1" applyFill="1" applyBorder="1" applyProtection="1">
      <alignment vertical="center"/>
      <protection locked="0"/>
    </xf>
    <xf numFmtId="14" fontId="12" fillId="6" borderId="23" xfId="0" applyNumberFormat="1" applyFont="1" applyFill="1" applyBorder="1" applyAlignment="1" applyProtection="1">
      <alignment horizontal="center" vertical="center"/>
      <protection locked="0"/>
    </xf>
    <xf numFmtId="14" fontId="12" fillId="6" borderId="25" xfId="0" applyNumberFormat="1" applyFont="1" applyFill="1" applyBorder="1" applyAlignment="1" applyProtection="1">
      <alignment horizontal="center" vertical="center"/>
      <protection locked="0"/>
    </xf>
    <xf numFmtId="14" fontId="12" fillId="6" borderId="25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Alignment="1" applyProtection="1">
      <alignment horizontal="left" vertical="center"/>
      <protection locked="0"/>
    </xf>
    <xf numFmtId="176" fontId="3" fillId="0" borderId="0" xfId="0" applyNumberFormat="1" applyFont="1" applyAlignment="1" applyProtection="1">
      <alignment horizontal="left" vertical="center"/>
      <protection locked="0"/>
    </xf>
    <xf numFmtId="49" fontId="17" fillId="0" borderId="19" xfId="0" applyNumberFormat="1" applyFont="1" applyBorder="1" applyAlignment="1">
      <alignment horizontal="center" vertical="center"/>
    </xf>
    <xf numFmtId="0" fontId="39" fillId="0" borderId="0" xfId="0" applyFont="1">
      <alignment vertical="center"/>
    </xf>
    <xf numFmtId="0" fontId="38" fillId="0" borderId="0" xfId="0" applyFont="1">
      <alignment vertical="center"/>
    </xf>
    <xf numFmtId="0" fontId="40" fillId="0" borderId="0" xfId="0" applyFont="1">
      <alignment vertical="center"/>
    </xf>
    <xf numFmtId="14" fontId="41" fillId="0" borderId="0" xfId="0" applyNumberFormat="1" applyFont="1" applyAlignment="1">
      <alignment horizontal="center" vertical="center"/>
    </xf>
    <xf numFmtId="14" fontId="42" fillId="0" borderId="0" xfId="0" applyNumberFormat="1" applyFont="1" applyAlignment="1">
      <alignment horizontal="center" vertical="center"/>
    </xf>
    <xf numFmtId="14" fontId="42" fillId="0" borderId="0" xfId="0" applyNumberFormat="1" applyFont="1">
      <alignment vertical="center"/>
    </xf>
    <xf numFmtId="184" fontId="12" fillId="0" borderId="0" xfId="0" applyNumberFormat="1" applyFont="1" applyAlignment="1">
      <alignment horizontal="center" vertical="center"/>
    </xf>
    <xf numFmtId="14" fontId="15" fillId="0" borderId="0" xfId="0" applyNumberFormat="1" applyFont="1">
      <alignment vertical="center"/>
    </xf>
    <xf numFmtId="14" fontId="12" fillId="0" borderId="18" xfId="0" applyNumberFormat="1" applyFont="1" applyBorder="1" applyAlignment="1" applyProtection="1">
      <alignment horizontal="center" vertical="center"/>
      <protection locked="0"/>
    </xf>
    <xf numFmtId="14" fontId="12" fillId="0" borderId="20" xfId="0" applyNumberFormat="1" applyFont="1" applyBorder="1" applyAlignment="1" applyProtection="1">
      <alignment horizontal="center" vertical="center"/>
      <protection locked="0"/>
    </xf>
    <xf numFmtId="0" fontId="12" fillId="4" borderId="0" xfId="0" applyFont="1" applyFill="1" applyAlignment="1">
      <alignment horizontal="center" vertical="center"/>
    </xf>
    <xf numFmtId="49" fontId="43" fillId="0" borderId="2" xfId="0" applyNumberFormat="1" applyFont="1" applyBorder="1" applyAlignment="1" applyProtection="1">
      <alignment horizontal="center" vertical="center"/>
      <protection locked="0"/>
    </xf>
    <xf numFmtId="0" fontId="12" fillId="0" borderId="64" xfId="0" applyFont="1" applyBorder="1" applyAlignment="1">
      <alignment horizontal="center" vertical="center"/>
    </xf>
    <xf numFmtId="0" fontId="12" fillId="0" borderId="70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7" fillId="0" borderId="72" xfId="0" applyNumberFormat="1" applyFont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181" fontId="12" fillId="0" borderId="21" xfId="0" applyNumberFormat="1" applyFont="1" applyBorder="1" applyAlignment="1" applyProtection="1">
      <alignment horizontal="center" vertical="center"/>
      <protection locked="0"/>
    </xf>
    <xf numFmtId="181" fontId="12" fillId="0" borderId="23" xfId="0" applyNumberFormat="1" applyFont="1" applyBorder="1" applyAlignment="1" applyProtection="1">
      <alignment horizontal="center" vertical="center"/>
      <protection locked="0"/>
    </xf>
    <xf numFmtId="0" fontId="12" fillId="0" borderId="2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8" fillId="0" borderId="28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18" fillId="0" borderId="31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178" fontId="18" fillId="0" borderId="32" xfId="0" applyNumberFormat="1" applyFont="1" applyBorder="1" applyAlignment="1">
      <alignment horizontal="center" vertical="top" shrinkToFit="1"/>
    </xf>
    <xf numFmtId="178" fontId="18" fillId="0" borderId="33" xfId="0" applyNumberFormat="1" applyFont="1" applyBorder="1" applyAlignment="1">
      <alignment horizontal="center" vertical="top" shrinkToFit="1"/>
    </xf>
    <xf numFmtId="178" fontId="18" fillId="0" borderId="27" xfId="0" applyNumberFormat="1" applyFont="1" applyBorder="1" applyAlignment="1">
      <alignment horizontal="center" vertical="top" shrinkToFit="1"/>
    </xf>
    <xf numFmtId="178" fontId="18" fillId="0" borderId="30" xfId="0" applyNumberFormat="1" applyFont="1" applyBorder="1" applyAlignment="1">
      <alignment horizontal="center" vertical="top" shrinkToFit="1"/>
    </xf>
    <xf numFmtId="178" fontId="18" fillId="0" borderId="34" xfId="0" applyNumberFormat="1" applyFont="1" applyBorder="1" applyAlignment="1">
      <alignment horizontal="center" vertical="top" shrinkToFit="1"/>
    </xf>
    <xf numFmtId="178" fontId="18" fillId="0" borderId="7" xfId="0" applyNumberFormat="1" applyFont="1" applyBorder="1" applyAlignment="1">
      <alignment horizontal="center" vertical="top" shrinkToFit="1"/>
    </xf>
    <xf numFmtId="178" fontId="18" fillId="0" borderId="9" xfId="0" applyNumberFormat="1" applyFont="1" applyBorder="1" applyAlignment="1">
      <alignment horizontal="center" vertical="top" shrinkToFit="1"/>
    </xf>
    <xf numFmtId="0" fontId="18" fillId="0" borderId="2" xfId="0" applyFont="1" applyBorder="1" applyAlignment="1">
      <alignment horizontal="center" vertical="top" wrapText="1"/>
    </xf>
    <xf numFmtId="0" fontId="18" fillId="0" borderId="31" xfId="0" applyFont="1" applyBorder="1" applyAlignment="1">
      <alignment horizontal="center" vertical="top" wrapText="1"/>
    </xf>
    <xf numFmtId="0" fontId="18" fillId="0" borderId="30" xfId="0" applyFont="1" applyBorder="1" applyAlignment="1">
      <alignment horizontal="center" vertical="top" wrapText="1"/>
    </xf>
    <xf numFmtId="0" fontId="18" fillId="0" borderId="27" xfId="0" applyFont="1" applyBorder="1" applyAlignment="1">
      <alignment horizontal="center" vertical="top" wrapText="1"/>
    </xf>
    <xf numFmtId="0" fontId="18" fillId="0" borderId="30" xfId="0" applyFont="1" applyBorder="1" applyAlignment="1">
      <alignment horizontal="center" vertical="center" wrapText="1"/>
    </xf>
    <xf numFmtId="178" fontId="18" fillId="0" borderId="35" xfId="0" applyNumberFormat="1" applyFont="1" applyBorder="1" applyAlignment="1">
      <alignment horizontal="center" vertical="top" shrinkToFit="1"/>
    </xf>
    <xf numFmtId="178" fontId="18" fillId="0" borderId="27" xfId="0" applyNumberFormat="1" applyFont="1" applyBorder="1" applyAlignment="1">
      <alignment horizontal="center" vertical="center" shrinkToFit="1"/>
    </xf>
    <xf numFmtId="178" fontId="18" fillId="0" borderId="30" xfId="0" applyNumberFormat="1" applyFont="1" applyBorder="1" applyAlignment="1">
      <alignment horizontal="center" vertical="center" shrinkToFit="1"/>
    </xf>
    <xf numFmtId="178" fontId="18" fillId="0" borderId="36" xfId="0" applyNumberFormat="1" applyFont="1" applyBorder="1" applyAlignment="1">
      <alignment horizontal="center" vertical="center" shrinkToFit="1"/>
    </xf>
    <xf numFmtId="178" fontId="18" fillId="0" borderId="37" xfId="0" applyNumberFormat="1" applyFont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12" fillId="0" borderId="51" xfId="0" applyNumberFormat="1" applyFont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4" fontId="12" fillId="0" borderId="53" xfId="0" applyNumberFormat="1" applyFont="1" applyBorder="1" applyAlignment="1">
      <alignment horizontal="center" vertical="center"/>
    </xf>
    <xf numFmtId="14" fontId="12" fillId="0" borderId="54" xfId="0" applyNumberFormat="1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7" fillId="0" borderId="53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46" xfId="0" applyFont="1" applyBorder="1" applyAlignment="1">
      <alignment horizontal="center" vertical="center"/>
    </xf>
    <xf numFmtId="0" fontId="43" fillId="0" borderId="69" xfId="0" applyFont="1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</cellXfs>
  <cellStyles count="1">
    <cellStyle name="표준" xfId="0" builtinId="0"/>
  </cellStyles>
  <dxfs count="2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  <tableStyle name="Light Style 1 - Accent 1" table="0" count="7" xr9:uid="{00000000-0011-0000-FFFF-FFFF01000000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H$2" max="12" min="1" page="10" val="10"/>
</file>

<file path=xl/ctrlProps/ctrlProp2.xml><?xml version="1.0" encoding="utf-8"?>
<formControlPr xmlns="http://schemas.microsoft.com/office/spreadsheetml/2009/9/main" objectType="Spin" dx="26" fmlaLink="$O$2" max="12" min="1" page="10" val="10"/>
</file>

<file path=xl/ctrlProps/ctrlProp3.xml><?xml version="1.0" encoding="utf-8"?>
<formControlPr xmlns="http://schemas.microsoft.com/office/spreadsheetml/2009/9/main" objectType="Spin" dx="26" fmlaLink="$H$2" max="12" min="1" page="10" val="3"/>
</file>

<file path=xl/ctrlProps/ctrlProp4.xml><?xml version="1.0" encoding="utf-8"?>
<formControlPr xmlns="http://schemas.microsoft.com/office/spreadsheetml/2009/9/main" objectType="Spin" dx="26" fmlaLink="$F$2" max="2100" min="2024" page="10" val="2025"/>
</file>

<file path=xl/ctrlProps/ctrlProp5.xml><?xml version="1.0" encoding="utf-8"?>
<formControlPr xmlns="http://schemas.microsoft.com/office/spreadsheetml/2009/9/main" objectType="Spin" dx="26" fmlaLink="$G$2" max="12" min="1" page="10" val="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899160</xdr:colOff>
          <xdr:row>0</xdr:row>
          <xdr:rowOff>121920</xdr:rowOff>
        </xdr:from>
        <xdr:to>
          <xdr:col>8</xdr:col>
          <xdr:colOff>7620</xdr:colOff>
          <xdr:row>1</xdr:row>
          <xdr:rowOff>312420</xdr:rowOff>
        </xdr:to>
        <xdr:sp macro="" textlink="">
          <xdr:nvSpPr>
            <xdr:cNvPr id="58370" name="Spinner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899160</xdr:colOff>
          <xdr:row>0</xdr:row>
          <xdr:rowOff>121920</xdr:rowOff>
        </xdr:from>
        <xdr:to>
          <xdr:col>15</xdr:col>
          <xdr:colOff>7620</xdr:colOff>
          <xdr:row>1</xdr:row>
          <xdr:rowOff>312420</xdr:rowOff>
        </xdr:to>
        <xdr:sp macro="" textlink="">
          <xdr:nvSpPr>
            <xdr:cNvPr id="52225" name="Spinner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1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899160</xdr:colOff>
          <xdr:row>0</xdr:row>
          <xdr:rowOff>121920</xdr:rowOff>
        </xdr:from>
        <xdr:to>
          <xdr:col>8</xdr:col>
          <xdr:colOff>7620</xdr:colOff>
          <xdr:row>1</xdr:row>
          <xdr:rowOff>312420</xdr:rowOff>
        </xdr:to>
        <xdr:sp macro="" textlink="">
          <xdr:nvSpPr>
            <xdr:cNvPr id="50178" name="Spinner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975360</xdr:colOff>
          <xdr:row>0</xdr:row>
          <xdr:rowOff>220980</xdr:rowOff>
        </xdr:from>
        <xdr:to>
          <xdr:col>6</xdr:col>
          <xdr:colOff>0</xdr:colOff>
          <xdr:row>1</xdr:row>
          <xdr:rowOff>365760</xdr:rowOff>
        </xdr:to>
        <xdr:sp macro="" textlink="">
          <xdr:nvSpPr>
            <xdr:cNvPr id="66561" name="Spinner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3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975360</xdr:colOff>
          <xdr:row>0</xdr:row>
          <xdr:rowOff>236220</xdr:rowOff>
        </xdr:from>
        <xdr:to>
          <xdr:col>7</xdr:col>
          <xdr:colOff>0</xdr:colOff>
          <xdr:row>1</xdr:row>
          <xdr:rowOff>365760</xdr:rowOff>
        </xdr:to>
        <xdr:sp macro="" textlink="">
          <xdr:nvSpPr>
            <xdr:cNvPr id="66563" name="Spinner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3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FF2DF-0C1C-4612-B819-D7792E8DC651}">
  <sheetPr codeName="Sheet1"/>
  <dimension ref="A1:J67"/>
  <sheetViews>
    <sheetView topLeftCell="A44" workbookViewId="0">
      <selection activeCell="F42" sqref="F42"/>
    </sheetView>
  </sheetViews>
  <sheetFormatPr defaultColWidth="8.77734375" defaultRowHeight="19.95" customHeight="1" x14ac:dyDescent="0.25"/>
  <cols>
    <col min="1" max="8" width="23.77734375" customWidth="1"/>
    <col min="9" max="9" width="16.6640625" customWidth="1"/>
  </cols>
  <sheetData>
    <row r="1" spans="1:9" ht="12.6" customHeight="1" x14ac:dyDescent="0.25"/>
    <row r="2" spans="1:9" s="8" customFormat="1" ht="25.2" customHeight="1" x14ac:dyDescent="0.25">
      <c r="B2" s="8" t="s">
        <v>22</v>
      </c>
      <c r="G2" s="26">
        <v>2024</v>
      </c>
      <c r="H2" s="27">
        <v>10</v>
      </c>
    </row>
    <row r="3" spans="1:9" s="7" customFormat="1" ht="16.95" customHeight="1" x14ac:dyDescent="0.25">
      <c r="A3" s="10"/>
      <c r="B3" s="1" t="s">
        <v>5</v>
      </c>
      <c r="C3" s="1" t="s">
        <v>15</v>
      </c>
      <c r="D3" s="1" t="s">
        <v>8</v>
      </c>
      <c r="E3" s="11" t="s">
        <v>1</v>
      </c>
      <c r="F3" s="11" t="s">
        <v>17</v>
      </c>
      <c r="G3" s="11" t="s">
        <v>16</v>
      </c>
      <c r="H3" s="11" t="s">
        <v>9</v>
      </c>
    </row>
    <row r="4" spans="1:9" s="7" customFormat="1" ht="16.95" customHeight="1" x14ac:dyDescent="0.25">
      <c r="A4" s="1" t="s">
        <v>3</v>
      </c>
      <c r="B4" s="12">
        <f>DATE(G$2,H$2,1)-WEEKDAY(DATE($G$2,$H$2,1),1)+1</f>
        <v>45564</v>
      </c>
      <c r="C4" s="12">
        <f t="shared" ref="C4:H4" si="0">B4+1</f>
        <v>45565</v>
      </c>
      <c r="D4" s="12">
        <f t="shared" si="0"/>
        <v>45566</v>
      </c>
      <c r="E4" s="12">
        <f t="shared" si="0"/>
        <v>45567</v>
      </c>
      <c r="F4" s="12">
        <f t="shared" si="0"/>
        <v>45568</v>
      </c>
      <c r="G4" s="12">
        <f t="shared" si="0"/>
        <v>45569</v>
      </c>
      <c r="H4" s="12">
        <f t="shared" si="0"/>
        <v>45570</v>
      </c>
    </row>
    <row r="5" spans="1:9" s="7" customFormat="1" ht="16.95" customHeight="1" x14ac:dyDescent="0.25">
      <c r="A5" s="1" t="s">
        <v>29</v>
      </c>
      <c r="B5" s="1"/>
      <c r="C5" s="1"/>
      <c r="D5" s="1"/>
      <c r="E5" s="1"/>
      <c r="F5" s="1"/>
      <c r="G5" s="1"/>
      <c r="H5" s="1"/>
    </row>
    <row r="6" spans="1:9" s="4" customFormat="1" ht="16.95" customHeight="1" x14ac:dyDescent="0.25">
      <c r="A6" s="1"/>
      <c r="B6" s="1"/>
      <c r="C6" s="1"/>
      <c r="D6" s="1"/>
      <c r="E6" s="1"/>
      <c r="F6" s="1"/>
      <c r="G6" s="1"/>
      <c r="H6" s="1"/>
      <c r="I6" s="7"/>
    </row>
    <row r="7" spans="1:9" s="7" customFormat="1" ht="16.95" customHeight="1" x14ac:dyDescent="0.25">
      <c r="A7" s="1" t="s">
        <v>27</v>
      </c>
      <c r="B7" s="1"/>
      <c r="C7" s="1"/>
      <c r="D7" s="1"/>
      <c r="E7" s="1"/>
      <c r="F7" s="1"/>
      <c r="G7" s="1"/>
      <c r="H7" s="1"/>
    </row>
    <row r="8" spans="1:9" s="4" customFormat="1" ht="16.95" customHeight="1" x14ac:dyDescent="0.25">
      <c r="A8" s="1"/>
      <c r="B8" s="1"/>
      <c r="C8" s="1"/>
      <c r="D8" s="1"/>
      <c r="E8" s="1"/>
      <c r="F8" s="1"/>
      <c r="G8" s="1"/>
      <c r="H8" s="1"/>
      <c r="I8" s="7"/>
    </row>
    <row r="9" spans="1:9" s="7" customFormat="1" ht="16.95" customHeight="1" x14ac:dyDescent="0.25">
      <c r="A9" s="1" t="s">
        <v>25</v>
      </c>
      <c r="B9" s="1"/>
      <c r="C9" s="1"/>
      <c r="D9" s="1"/>
      <c r="E9" s="1"/>
      <c r="F9" s="1"/>
      <c r="G9" s="1"/>
      <c r="H9" s="1"/>
    </row>
    <row r="10" spans="1:9" s="7" customFormat="1" ht="16.95" customHeight="1" x14ac:dyDescent="0.25">
      <c r="A10" s="1" t="s">
        <v>3</v>
      </c>
      <c r="B10" s="12">
        <f>B4+7</f>
        <v>45571</v>
      </c>
      <c r="C10" s="12">
        <f t="shared" ref="C10:H10" si="1">B10+1</f>
        <v>45572</v>
      </c>
      <c r="D10" s="12">
        <f t="shared" si="1"/>
        <v>45573</v>
      </c>
      <c r="E10" s="12">
        <f t="shared" si="1"/>
        <v>45574</v>
      </c>
      <c r="F10" s="12">
        <f t="shared" si="1"/>
        <v>45575</v>
      </c>
      <c r="G10" s="12">
        <f t="shared" si="1"/>
        <v>45576</v>
      </c>
      <c r="H10" s="12">
        <f t="shared" si="1"/>
        <v>45577</v>
      </c>
    </row>
    <row r="11" spans="1:9" s="7" customFormat="1" ht="16.95" customHeight="1" x14ac:dyDescent="0.25">
      <c r="A11" s="1" t="s">
        <v>29</v>
      </c>
      <c r="B11" s="1"/>
      <c r="C11" s="1"/>
      <c r="D11" s="1"/>
      <c r="E11" s="1"/>
      <c r="F11" s="1"/>
      <c r="G11" s="1"/>
      <c r="H11" s="1"/>
    </row>
    <row r="12" spans="1:9" s="4" customFormat="1" ht="16.95" customHeight="1" x14ac:dyDescent="0.25">
      <c r="A12" s="1"/>
      <c r="B12" s="1"/>
      <c r="C12" s="1"/>
      <c r="D12" s="1"/>
      <c r="E12" s="1"/>
      <c r="F12" s="1"/>
      <c r="G12" s="1"/>
      <c r="H12" s="1"/>
      <c r="I12" s="7"/>
    </row>
    <row r="13" spans="1:9" s="7" customFormat="1" ht="16.95" customHeight="1" x14ac:dyDescent="0.25">
      <c r="A13" s="1" t="s">
        <v>27</v>
      </c>
      <c r="B13" s="1"/>
      <c r="C13" s="1"/>
      <c r="D13" s="1"/>
      <c r="E13" s="1"/>
      <c r="F13" s="1"/>
      <c r="G13" s="1"/>
      <c r="H13" s="1"/>
    </row>
    <row r="14" spans="1:9" s="4" customFormat="1" ht="16.95" customHeight="1" x14ac:dyDescent="0.25">
      <c r="A14" s="1"/>
      <c r="B14" s="1"/>
      <c r="C14" s="1"/>
      <c r="D14" s="1"/>
      <c r="E14" s="1"/>
      <c r="F14" s="1"/>
      <c r="G14" s="1"/>
      <c r="H14" s="1"/>
      <c r="I14" s="7"/>
    </row>
    <row r="15" spans="1:9" s="7" customFormat="1" ht="16.95" customHeight="1" x14ac:dyDescent="0.25">
      <c r="A15" s="1" t="s">
        <v>25</v>
      </c>
      <c r="B15" s="1"/>
      <c r="C15" s="1"/>
      <c r="D15" s="1"/>
      <c r="E15" s="1"/>
      <c r="F15" s="1"/>
      <c r="G15" s="1"/>
      <c r="H15" s="1"/>
    </row>
    <row r="16" spans="1:9" s="7" customFormat="1" ht="16.95" customHeight="1" x14ac:dyDescent="0.25">
      <c r="A16" s="1" t="s">
        <v>3</v>
      </c>
      <c r="B16" s="12">
        <f>B10+7</f>
        <v>45578</v>
      </c>
      <c r="C16" s="12">
        <f t="shared" ref="C16:H16" si="2">B16+1</f>
        <v>45579</v>
      </c>
      <c r="D16" s="12">
        <f t="shared" si="2"/>
        <v>45580</v>
      </c>
      <c r="E16" s="12">
        <f t="shared" si="2"/>
        <v>45581</v>
      </c>
      <c r="F16" s="12">
        <f t="shared" si="2"/>
        <v>45582</v>
      </c>
      <c r="G16" s="12">
        <f t="shared" si="2"/>
        <v>45583</v>
      </c>
      <c r="H16" s="12">
        <f t="shared" si="2"/>
        <v>45584</v>
      </c>
    </row>
    <row r="17" spans="1:9" s="7" customFormat="1" ht="16.95" customHeight="1" x14ac:dyDescent="0.25">
      <c r="A17" s="1" t="s">
        <v>29</v>
      </c>
      <c r="B17" s="1"/>
      <c r="C17" s="1"/>
      <c r="D17" s="1"/>
      <c r="E17" s="1"/>
      <c r="F17" s="1"/>
      <c r="G17" s="1"/>
      <c r="H17" s="1"/>
    </row>
    <row r="18" spans="1:9" s="4" customFormat="1" ht="16.95" customHeight="1" x14ac:dyDescent="0.25">
      <c r="A18" s="1"/>
      <c r="B18" s="1"/>
      <c r="C18" s="1"/>
      <c r="D18" s="1"/>
      <c r="E18" s="1"/>
      <c r="F18" s="1"/>
      <c r="G18" s="1"/>
      <c r="H18" s="1"/>
      <c r="I18" s="7"/>
    </row>
    <row r="19" spans="1:9" s="7" customFormat="1" ht="16.95" customHeight="1" x14ac:dyDescent="0.25">
      <c r="A19" s="1" t="s">
        <v>27</v>
      </c>
      <c r="B19" s="1"/>
      <c r="C19" s="1"/>
      <c r="D19" s="1"/>
      <c r="E19" s="1"/>
      <c r="F19" s="1"/>
      <c r="G19" s="1"/>
      <c r="H19" s="1"/>
    </row>
    <row r="20" spans="1:9" s="4" customFormat="1" ht="16.95" customHeight="1" x14ac:dyDescent="0.25">
      <c r="A20" s="1"/>
      <c r="B20" s="1"/>
      <c r="C20" s="1"/>
      <c r="D20" s="1"/>
      <c r="E20" s="1"/>
      <c r="F20" s="1"/>
      <c r="G20" s="1"/>
      <c r="H20" s="1"/>
      <c r="I20" s="7"/>
    </row>
    <row r="21" spans="1:9" s="7" customFormat="1" ht="16.95" customHeight="1" x14ac:dyDescent="0.25">
      <c r="A21" s="1" t="s">
        <v>25</v>
      </c>
      <c r="B21" s="1"/>
      <c r="C21" s="1"/>
      <c r="D21" s="1"/>
      <c r="E21" s="1"/>
      <c r="F21" s="1"/>
      <c r="G21" s="1"/>
      <c r="H21" s="1"/>
    </row>
    <row r="22" spans="1:9" s="7" customFormat="1" ht="16.95" customHeight="1" x14ac:dyDescent="0.25">
      <c r="A22" s="1" t="s">
        <v>3</v>
      </c>
      <c r="B22" s="12">
        <f>B16+7</f>
        <v>45585</v>
      </c>
      <c r="C22" s="12">
        <f t="shared" ref="C22:H22" si="3">B22+1</f>
        <v>45586</v>
      </c>
      <c r="D22" s="12">
        <f t="shared" si="3"/>
        <v>45587</v>
      </c>
      <c r="E22" s="12">
        <f t="shared" si="3"/>
        <v>45588</v>
      </c>
      <c r="F22" s="12">
        <f t="shared" si="3"/>
        <v>45589</v>
      </c>
      <c r="G22" s="12">
        <f t="shared" si="3"/>
        <v>45590</v>
      </c>
      <c r="H22" s="12">
        <f t="shared" si="3"/>
        <v>45591</v>
      </c>
    </row>
    <row r="23" spans="1:9" s="7" customFormat="1" ht="16.95" customHeight="1" x14ac:dyDescent="0.25">
      <c r="A23" s="1" t="s">
        <v>29</v>
      </c>
      <c r="B23" s="1"/>
      <c r="C23" s="1"/>
      <c r="D23" s="1"/>
      <c r="E23" s="1"/>
      <c r="F23" s="1"/>
      <c r="G23" s="1"/>
      <c r="H23" s="1"/>
    </row>
    <row r="24" spans="1:9" s="4" customFormat="1" ht="16.95" customHeight="1" x14ac:dyDescent="0.25">
      <c r="A24" s="1"/>
      <c r="B24" s="1"/>
      <c r="C24" s="1"/>
      <c r="D24" s="1"/>
      <c r="E24" s="1"/>
      <c r="F24" s="1"/>
      <c r="G24" s="1"/>
      <c r="H24" s="1"/>
      <c r="I24" s="7"/>
    </row>
    <row r="25" spans="1:9" s="7" customFormat="1" ht="16.95" customHeight="1" x14ac:dyDescent="0.25">
      <c r="A25" s="1" t="s">
        <v>27</v>
      </c>
      <c r="B25" s="1"/>
      <c r="C25" s="1"/>
      <c r="D25" s="1"/>
      <c r="E25" s="1"/>
      <c r="F25" s="1"/>
      <c r="G25" s="1"/>
      <c r="H25" s="1"/>
    </row>
    <row r="26" spans="1:9" s="4" customFormat="1" ht="16.95" customHeight="1" x14ac:dyDescent="0.25">
      <c r="A26" s="1"/>
      <c r="B26" s="1"/>
      <c r="C26" s="1"/>
      <c r="D26" s="1"/>
      <c r="E26" s="1"/>
      <c r="F26" s="1"/>
      <c r="G26" s="1"/>
      <c r="H26" s="1"/>
      <c r="I26" s="7"/>
    </row>
    <row r="27" spans="1:9" s="7" customFormat="1" ht="16.95" customHeight="1" x14ac:dyDescent="0.25">
      <c r="A27" s="1" t="s">
        <v>25</v>
      </c>
      <c r="B27" s="1"/>
      <c r="C27" s="1"/>
      <c r="D27" s="1"/>
      <c r="E27" s="1"/>
      <c r="F27" s="1"/>
      <c r="G27" s="1"/>
      <c r="H27" s="1"/>
    </row>
    <row r="28" spans="1:9" s="7" customFormat="1" ht="16.95" customHeight="1" x14ac:dyDescent="0.25">
      <c r="A28" s="1" t="s">
        <v>3</v>
      </c>
      <c r="B28" s="12">
        <f>B22+7</f>
        <v>45592</v>
      </c>
      <c r="C28" s="12">
        <f t="shared" ref="C28:H28" si="4">B28+1</f>
        <v>45593</v>
      </c>
      <c r="D28" s="12">
        <f t="shared" si="4"/>
        <v>45594</v>
      </c>
      <c r="E28" s="12">
        <f t="shared" si="4"/>
        <v>45595</v>
      </c>
      <c r="F28" s="12">
        <f t="shared" si="4"/>
        <v>45596</v>
      </c>
      <c r="G28" s="12">
        <f t="shared" si="4"/>
        <v>45597</v>
      </c>
      <c r="H28" s="12">
        <f t="shared" si="4"/>
        <v>45598</v>
      </c>
    </row>
    <row r="29" spans="1:9" s="7" customFormat="1" ht="16.95" customHeight="1" x14ac:dyDescent="0.25">
      <c r="A29" s="1" t="s">
        <v>29</v>
      </c>
      <c r="B29" s="1"/>
      <c r="C29" s="1"/>
      <c r="D29" s="1"/>
      <c r="E29" s="1"/>
      <c r="F29" s="1"/>
      <c r="G29" s="1"/>
      <c r="H29" s="1"/>
    </row>
    <row r="30" spans="1:9" s="4" customFormat="1" ht="16.95" customHeight="1" x14ac:dyDescent="0.25">
      <c r="A30" s="1"/>
      <c r="B30" s="1"/>
      <c r="C30" s="1"/>
      <c r="D30" s="1"/>
      <c r="E30" s="1"/>
      <c r="F30" s="1"/>
      <c r="G30" s="1"/>
      <c r="H30" s="1"/>
      <c r="I30" s="7"/>
    </row>
    <row r="31" spans="1:9" s="7" customFormat="1" ht="16.95" customHeight="1" x14ac:dyDescent="0.25">
      <c r="A31" s="1" t="s">
        <v>27</v>
      </c>
      <c r="B31" s="1"/>
      <c r="C31" s="1"/>
      <c r="D31" s="1"/>
      <c r="E31" s="1"/>
      <c r="F31" s="1"/>
      <c r="G31" s="1"/>
      <c r="H31" s="1"/>
    </row>
    <row r="32" spans="1:9" s="4" customFormat="1" ht="16.95" customHeight="1" x14ac:dyDescent="0.25">
      <c r="A32" s="1"/>
      <c r="B32" s="1"/>
      <c r="C32" s="1"/>
      <c r="D32" s="1"/>
      <c r="E32" s="1"/>
      <c r="F32" s="1"/>
      <c r="G32" s="1"/>
      <c r="H32" s="1"/>
      <c r="I32" s="7"/>
    </row>
    <row r="33" spans="1:8" s="7" customFormat="1" ht="16.95" customHeight="1" x14ac:dyDescent="0.25">
      <c r="A33" s="1" t="s">
        <v>25</v>
      </c>
      <c r="B33" s="1"/>
      <c r="C33" s="1"/>
      <c r="D33" s="1"/>
      <c r="E33" s="1"/>
      <c r="F33" s="1"/>
      <c r="G33" s="1"/>
      <c r="H33" s="1"/>
    </row>
    <row r="34" spans="1:8" s="7" customFormat="1" ht="16.2" customHeight="1" x14ac:dyDescent="0.25"/>
    <row r="42" spans="1:8" ht="19.95" customHeight="1" thickBot="1" x14ac:dyDescent="0.3"/>
    <row r="43" spans="1:8" ht="13.2" customHeight="1" thickTop="1" thickBot="1" x14ac:dyDescent="0.3">
      <c r="A43" s="242" t="s">
        <v>13</v>
      </c>
      <c r="B43" s="242"/>
      <c r="C43" s="2" t="s">
        <v>2</v>
      </c>
      <c r="D43" s="25">
        <f>H2</f>
        <v>10</v>
      </c>
      <c r="F43" s="32" t="s">
        <v>40</v>
      </c>
      <c r="G43" s="33" t="s">
        <v>41</v>
      </c>
    </row>
    <row r="44" spans="1:8" ht="13.8" thickTop="1" x14ac:dyDescent="0.25">
      <c r="A44" s="242">
        <v>1</v>
      </c>
      <c r="B44" s="242"/>
      <c r="C44" s="2" t="s">
        <v>4</v>
      </c>
      <c r="D44" s="2">
        <f>COUNTIF($A$1:$H$33,"*" &amp;$C44&amp; "*")</f>
        <v>0</v>
      </c>
      <c r="F44" s="31"/>
      <c r="G44" s="19" t="s">
        <v>42</v>
      </c>
    </row>
    <row r="45" spans="1:8" ht="13.2" x14ac:dyDescent="0.25">
      <c r="A45" s="242">
        <v>2</v>
      </c>
      <c r="B45" s="242"/>
      <c r="C45" s="2" t="s">
        <v>14</v>
      </c>
      <c r="D45" s="2">
        <f t="shared" ref="D45:D52" si="5">COUNTIF($A$1:$H$33,"*" &amp;$C45&amp; "*")</f>
        <v>0</v>
      </c>
      <c r="F45" s="28"/>
      <c r="G45" s="34" t="s">
        <v>43</v>
      </c>
    </row>
    <row r="46" spans="1:8" ht="13.2" x14ac:dyDescent="0.25">
      <c r="A46" s="242">
        <v>3</v>
      </c>
      <c r="B46" s="242"/>
      <c r="C46" s="2" t="s">
        <v>20</v>
      </c>
      <c r="D46" s="2">
        <f t="shared" si="5"/>
        <v>0</v>
      </c>
      <c r="F46" s="28"/>
      <c r="G46" s="22" t="s">
        <v>44</v>
      </c>
    </row>
    <row r="47" spans="1:8" ht="13.2" x14ac:dyDescent="0.25">
      <c r="A47" s="242">
        <v>4</v>
      </c>
      <c r="B47" s="242"/>
      <c r="C47" s="2" t="s">
        <v>6</v>
      </c>
      <c r="D47" s="2">
        <f t="shared" si="5"/>
        <v>0</v>
      </c>
      <c r="F47" s="28"/>
    </row>
    <row r="48" spans="1:8" ht="13.2" x14ac:dyDescent="0.25">
      <c r="A48" s="242">
        <v>5</v>
      </c>
      <c r="B48" s="242"/>
      <c r="C48" s="2" t="s">
        <v>18</v>
      </c>
      <c r="D48" s="2">
        <f t="shared" si="5"/>
        <v>0</v>
      </c>
      <c r="F48" s="28"/>
    </row>
    <row r="49" spans="1:10" ht="13.2" x14ac:dyDescent="0.25">
      <c r="A49" s="242">
        <v>6</v>
      </c>
      <c r="B49" s="242"/>
      <c r="C49" s="2" t="s">
        <v>7</v>
      </c>
      <c r="D49" s="2">
        <f t="shared" si="5"/>
        <v>0</v>
      </c>
      <c r="F49" s="29"/>
      <c r="H49" s="19" t="s">
        <v>36</v>
      </c>
      <c r="I49" s="20">
        <f>DATE($G$2,$H$2,1)</f>
        <v>45566</v>
      </c>
    </row>
    <row r="50" spans="1:10" ht="13.2" x14ac:dyDescent="0.25">
      <c r="A50" s="242">
        <v>7</v>
      </c>
      <c r="B50" s="242"/>
      <c r="C50" s="2" t="s">
        <v>19</v>
      </c>
      <c r="D50" s="2">
        <f t="shared" si="5"/>
        <v>0</v>
      </c>
      <c r="F50" s="28"/>
      <c r="H50" s="19" t="s">
        <v>37</v>
      </c>
      <c r="I50" s="20">
        <f>EOMONTH(I49,0)</f>
        <v>45596</v>
      </c>
    </row>
    <row r="51" spans="1:10" ht="13.8" thickBot="1" x14ac:dyDescent="0.3">
      <c r="A51" s="242">
        <v>8</v>
      </c>
      <c r="B51" s="242"/>
      <c r="C51" s="2" t="s">
        <v>0</v>
      </c>
      <c r="D51" s="2">
        <f t="shared" si="5"/>
        <v>0</v>
      </c>
      <c r="F51" s="30"/>
    </row>
    <row r="52" spans="1:10" ht="13.8" thickTop="1" x14ac:dyDescent="0.25">
      <c r="A52" s="242">
        <v>9</v>
      </c>
      <c r="B52" s="242"/>
      <c r="C52" s="2" t="s">
        <v>21</v>
      </c>
      <c r="D52" s="2">
        <f t="shared" si="5"/>
        <v>0</v>
      </c>
      <c r="E52" s="39">
        <v>45545</v>
      </c>
      <c r="F52" s="19" t="s">
        <v>31</v>
      </c>
      <c r="G52" s="19" t="s">
        <v>32</v>
      </c>
      <c r="H52" s="22" t="s">
        <v>33</v>
      </c>
      <c r="I52" s="23" t="s">
        <v>34</v>
      </c>
      <c r="J52" s="22" t="s">
        <v>35</v>
      </c>
    </row>
    <row r="53" spans="1:10" ht="13.2" x14ac:dyDescent="0.25">
      <c r="A53" s="242" t="s">
        <v>12</v>
      </c>
      <c r="B53" s="242"/>
      <c r="C53" s="2" t="s">
        <v>26</v>
      </c>
      <c r="F53" s="24">
        <f>NETWORKDAYS(I49,I50,F44:F51)</f>
        <v>23</v>
      </c>
      <c r="G53" s="21">
        <f>I50-I49+1-NETWORKDAYS(I49,I50,F44:F51)</f>
        <v>8</v>
      </c>
      <c r="H53" s="22">
        <f>F53*8</f>
        <v>184</v>
      </c>
      <c r="I53">
        <f>FLOOR(H53/12,2)</f>
        <v>14</v>
      </c>
      <c r="J53">
        <f>I50-I49+1-I53*2</f>
        <v>3</v>
      </c>
    </row>
    <row r="54" spans="1:10" ht="13.2" x14ac:dyDescent="0.25">
      <c r="A54" s="242"/>
      <c r="B54" s="242"/>
      <c r="C54" s="2" t="s">
        <v>6</v>
      </c>
      <c r="I54" s="19" t="s">
        <v>38</v>
      </c>
    </row>
    <row r="55" spans="1:10" ht="13.2" x14ac:dyDescent="0.25">
      <c r="A55" s="242"/>
      <c r="B55" s="242"/>
      <c r="C55" s="2"/>
      <c r="I55" s="19">
        <f>I53*12</f>
        <v>168</v>
      </c>
    </row>
    <row r="56" spans="1:10" ht="13.2" x14ac:dyDescent="0.25">
      <c r="A56" s="242" t="s">
        <v>10</v>
      </c>
      <c r="B56" s="242"/>
      <c r="C56" s="2" t="s">
        <v>24</v>
      </c>
      <c r="I56" s="23" t="s">
        <v>39</v>
      </c>
    </row>
    <row r="57" spans="1:10" ht="13.2" x14ac:dyDescent="0.25">
      <c r="A57" s="242"/>
      <c r="B57" s="242"/>
      <c r="C57" s="2" t="s">
        <v>30</v>
      </c>
      <c r="I57">
        <f>H53-I55</f>
        <v>16</v>
      </c>
    </row>
    <row r="58" spans="1:10" ht="13.2" x14ac:dyDescent="0.25">
      <c r="A58" s="242"/>
      <c r="B58" s="242"/>
      <c r="C58" s="2"/>
    </row>
    <row r="59" spans="1:10" ht="13.2" x14ac:dyDescent="0.25">
      <c r="A59" s="242"/>
      <c r="B59" s="242"/>
      <c r="C59" s="2"/>
    </row>
    <row r="60" spans="1:10" ht="13.2" x14ac:dyDescent="0.25">
      <c r="A60" s="238" t="s">
        <v>11</v>
      </c>
      <c r="B60" s="239"/>
      <c r="C60" s="2"/>
    </row>
    <row r="61" spans="1:10" ht="13.2" x14ac:dyDescent="0.25">
      <c r="A61" s="240"/>
      <c r="B61" s="241"/>
      <c r="C61" s="2" t="s">
        <v>28</v>
      </c>
    </row>
    <row r="62" spans="1:10" ht="13.2" x14ac:dyDescent="0.25">
      <c r="A62" s="242" t="s">
        <v>23</v>
      </c>
      <c r="B62" s="242"/>
      <c r="C62" s="2"/>
    </row>
    <row r="63" spans="1:10" ht="13.2" x14ac:dyDescent="0.25">
      <c r="A63" s="242"/>
      <c r="B63" s="242"/>
      <c r="C63" s="2"/>
    </row>
    <row r="64" spans="1:10" ht="13.2" x14ac:dyDescent="0.25">
      <c r="A64" s="242"/>
      <c r="B64" s="242"/>
      <c r="C64" s="9"/>
    </row>
    <row r="65" spans="1:3" ht="13.2" x14ac:dyDescent="0.25">
      <c r="A65" s="242"/>
      <c r="B65" s="242"/>
      <c r="C65" s="9"/>
    </row>
    <row r="67" spans="1:3" ht="31.2" customHeight="1" x14ac:dyDescent="0.25"/>
  </sheetData>
  <mergeCells count="14">
    <mergeCell ref="A48:B48"/>
    <mergeCell ref="A43:B43"/>
    <mergeCell ref="A44:B44"/>
    <mergeCell ref="A45:B45"/>
    <mergeCell ref="A46:B46"/>
    <mergeCell ref="A47:B47"/>
    <mergeCell ref="A60:B61"/>
    <mergeCell ref="A62:B65"/>
    <mergeCell ref="A49:B49"/>
    <mergeCell ref="A50:B50"/>
    <mergeCell ref="A51:B51"/>
    <mergeCell ref="A52:B52"/>
    <mergeCell ref="A53:B55"/>
    <mergeCell ref="A56:B59"/>
  </mergeCells>
  <phoneticPr fontId="6" type="noConversion"/>
  <conditionalFormatting sqref="B28 D28:H28">
    <cfRule type="expression" priority="10">
      <formula>MONTH(B28)&lt;&gt;MONTH(DATE($G$2,$H$2,1))</formula>
    </cfRule>
  </conditionalFormatting>
  <conditionalFormatting sqref="B4:H4">
    <cfRule type="expression" dxfId="14" priority="15">
      <formula>MONTH(B4)&lt;&gt;MONTH(DATE($G$2,$H$2,1))</formula>
    </cfRule>
  </conditionalFormatting>
  <conditionalFormatting sqref="B10:H10">
    <cfRule type="expression" priority="14">
      <formula>MONTH(B10)&lt;&gt;MONTH(daye($G$2,$H$2,1))</formula>
    </cfRule>
  </conditionalFormatting>
  <conditionalFormatting sqref="B16:H16">
    <cfRule type="expression" priority="13">
      <formula>MONTH(B16)&lt;&gt;MONTH(daye($G$2,$H$2,1))</formula>
    </cfRule>
  </conditionalFormatting>
  <conditionalFormatting sqref="B22:H22">
    <cfRule type="expression" priority="12">
      <formula>MONTH(B22)&lt;&gt;MONTH(daye($G$2,$H$2,1))</formula>
    </cfRule>
  </conditionalFormatting>
  <conditionalFormatting sqref="B28:H28">
    <cfRule type="expression" priority="9">
      <formula>MONTH(B28)&lt;&gt;MONTH(daye($G$2,$H$2,1))</formula>
    </cfRule>
  </conditionalFormatting>
  <conditionalFormatting sqref="C28:H28">
    <cfRule type="expression" dxfId="13" priority="1">
      <formula>MONTH(C28)&lt;&gt;MONTH(DATE($G$2,$H$2,1))</formula>
    </cfRule>
    <cfRule type="expression" priority="4">
      <formula>MONTH(C$28)&lt;&gt;MONTH(DATE($G$2,$H$2,1))</formula>
    </cfRule>
  </conditionalFormatting>
  <conditionalFormatting sqref="D28">
    <cfRule type="expression" priority="3">
      <formula>"moth(d28)&lt;&gt;month(date($G$2,$H$2,1)"</formula>
    </cfRule>
  </conditionalFormatting>
  <dataValidations count="1">
    <dataValidation type="list" operator="equal" allowBlank="1" showInputMessage="1" showErrorMessage="1" sqref="B11:H15 B29:H33 B23:H27 B17:H21 B5:H9" xr:uid="{AC6B3B56-9BE1-4A61-A44E-EDB5C23F49DD}">
      <formula1>이름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3" name="Spinner 2">
              <controlPr defaultSize="0" autoPict="0">
                <anchor moveWithCells="1" sizeWithCells="1">
                  <from>
                    <xdr:col>7</xdr:col>
                    <xdr:colOff>899160</xdr:colOff>
                    <xdr:row>0</xdr:row>
                    <xdr:rowOff>121920</xdr:rowOff>
                  </from>
                  <to>
                    <xdr:col>8</xdr:col>
                    <xdr:colOff>7620</xdr:colOff>
                    <xdr:row>1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5F8A3-060C-4823-A536-4FACEAC1F649}">
  <sheetPr codeName="Sheet14"/>
  <dimension ref="A2:V75"/>
  <sheetViews>
    <sheetView topLeftCell="A4" zoomScale="75" zoomScaleNormal="75" workbookViewId="0">
      <selection activeCell="F8" sqref="F8"/>
    </sheetView>
  </sheetViews>
  <sheetFormatPr defaultColWidth="11.77734375" defaultRowHeight="18.45" customHeight="1" x14ac:dyDescent="0.25"/>
  <cols>
    <col min="1" max="1" width="11.77734375" style="51"/>
    <col min="2" max="2" width="16.33203125" style="51" customWidth="1"/>
    <col min="3" max="16" width="11.33203125" style="51" customWidth="1"/>
    <col min="17" max="16384" width="11.77734375" style="51"/>
  </cols>
  <sheetData>
    <row r="2" spans="1:16" ht="18.45" customHeight="1" x14ac:dyDescent="0.25">
      <c r="C2" s="51" t="s">
        <v>22</v>
      </c>
      <c r="M2" s="52">
        <v>2024</v>
      </c>
      <c r="N2" s="52"/>
      <c r="O2" s="53">
        <v>10</v>
      </c>
    </row>
    <row r="3" spans="1:16" s="60" customFormat="1" ht="18.45" customHeight="1" x14ac:dyDescent="0.25">
      <c r="A3" s="54"/>
      <c r="B3" s="55"/>
      <c r="C3" s="255" t="s">
        <v>5</v>
      </c>
      <c r="D3" s="255"/>
      <c r="E3" s="256" t="s">
        <v>15</v>
      </c>
      <c r="F3" s="257"/>
      <c r="G3" s="258" t="s">
        <v>8</v>
      </c>
      <c r="H3" s="257"/>
      <c r="I3" s="245" t="s">
        <v>1</v>
      </c>
      <c r="J3" s="259"/>
      <c r="K3" s="245" t="s">
        <v>17</v>
      </c>
      <c r="L3" s="259"/>
      <c r="M3" s="245" t="s">
        <v>16</v>
      </c>
      <c r="N3" s="246"/>
      <c r="O3" s="247" t="s">
        <v>9</v>
      </c>
      <c r="P3" s="247"/>
    </row>
    <row r="4" spans="1:16" s="60" customFormat="1" ht="18.45" customHeight="1" x14ac:dyDescent="0.25">
      <c r="A4" s="58" t="s">
        <v>3</v>
      </c>
      <c r="B4" s="61"/>
      <c r="C4" s="248">
        <f>DATE(M$2,O$2,1)-WEEKDAY(DATE($M$2,$O$2,1),1)+1</f>
        <v>45564</v>
      </c>
      <c r="D4" s="249"/>
      <c r="E4" s="250">
        <f>C4+1</f>
        <v>45565</v>
      </c>
      <c r="F4" s="251"/>
      <c r="G4" s="250">
        <f>E4+1</f>
        <v>45566</v>
      </c>
      <c r="H4" s="251"/>
      <c r="I4" s="250">
        <f>G4+1</f>
        <v>45567</v>
      </c>
      <c r="J4" s="251"/>
      <c r="K4" s="250">
        <f>I4+1</f>
        <v>45568</v>
      </c>
      <c r="L4" s="251"/>
      <c r="M4" s="250">
        <f>K4+1</f>
        <v>45569</v>
      </c>
      <c r="N4" s="252"/>
      <c r="O4" s="253">
        <f>M4+1</f>
        <v>45570</v>
      </c>
      <c r="P4" s="254"/>
    </row>
    <row r="5" spans="1:16" ht="18.45" customHeight="1" x14ac:dyDescent="0.25">
      <c r="A5" s="243" t="s">
        <v>29</v>
      </c>
      <c r="B5" s="59" t="str">
        <f>조편성!C$14</f>
        <v>장영대김대화</v>
      </c>
      <c r="C5" s="56"/>
      <c r="D5" s="62"/>
      <c r="E5" s="62"/>
      <c r="F5" s="62"/>
      <c r="G5" s="62"/>
      <c r="H5" s="62"/>
      <c r="I5" s="62"/>
      <c r="J5" s="62"/>
      <c r="K5" s="62"/>
      <c r="L5" s="62"/>
      <c r="M5" s="62"/>
      <c r="N5" s="57"/>
      <c r="O5" s="55"/>
      <c r="P5" s="63"/>
    </row>
    <row r="6" spans="1:16" ht="18.45" customHeight="1" x14ac:dyDescent="0.25">
      <c r="A6" s="244"/>
      <c r="B6" s="59" t="str">
        <f>조편성!$C$15</f>
        <v>안성용</v>
      </c>
      <c r="C6" s="56"/>
      <c r="D6" s="62"/>
      <c r="E6" s="62"/>
      <c r="F6" s="62"/>
      <c r="G6" s="62"/>
      <c r="H6" s="62"/>
      <c r="I6" s="62"/>
      <c r="J6" s="62"/>
      <c r="K6" s="62"/>
      <c r="L6" s="62"/>
      <c r="M6" s="62"/>
      <c r="N6" s="57"/>
      <c r="O6" s="55"/>
      <c r="P6" s="63"/>
    </row>
    <row r="7" spans="1:16" ht="18.45" customHeight="1" x14ac:dyDescent="0.25">
      <c r="A7" s="243" t="s">
        <v>27</v>
      </c>
      <c r="B7" s="59" t="str">
        <f>조편성!$C$16</f>
        <v>오광웅김제원</v>
      </c>
      <c r="C7" s="56"/>
      <c r="D7" s="62"/>
      <c r="E7" s="62"/>
      <c r="F7" s="62"/>
      <c r="G7" s="62"/>
      <c r="H7" s="62"/>
      <c r="I7" s="62"/>
      <c r="J7" s="62"/>
      <c r="K7" s="62"/>
      <c r="L7" s="62"/>
      <c r="M7" s="62"/>
      <c r="N7" s="57"/>
      <c r="O7" s="55"/>
      <c r="P7" s="63"/>
    </row>
    <row r="8" spans="1:16" ht="18.45" customHeight="1" x14ac:dyDescent="0.25">
      <c r="A8" s="244"/>
      <c r="B8" s="59" t="str">
        <f>조편성!$C$17</f>
        <v>위선옥</v>
      </c>
      <c r="C8" s="56"/>
      <c r="D8" s="62"/>
      <c r="E8" s="62"/>
      <c r="F8" s="62"/>
      <c r="G8" s="62"/>
      <c r="H8" s="62"/>
      <c r="I8" s="62"/>
      <c r="J8" s="62"/>
      <c r="K8" s="62"/>
      <c r="L8" s="62"/>
      <c r="M8" s="62"/>
      <c r="N8" s="57"/>
      <c r="O8" s="55"/>
      <c r="P8" s="63"/>
    </row>
    <row r="9" spans="1:16" ht="18.45" customHeight="1" x14ac:dyDescent="0.25">
      <c r="A9" s="58" t="s">
        <v>25</v>
      </c>
      <c r="B9" s="59" t="str">
        <f>조편성!$C$18</f>
        <v>한영희신대진</v>
      </c>
      <c r="C9" s="56"/>
      <c r="D9" s="62"/>
      <c r="E9" s="62"/>
      <c r="F9" s="62"/>
      <c r="G9" s="62"/>
      <c r="H9" s="62"/>
      <c r="I9" s="62"/>
      <c r="J9" s="62"/>
      <c r="K9" s="62"/>
      <c r="L9" s="62"/>
      <c r="M9" s="62"/>
      <c r="N9" s="57"/>
      <c r="O9" s="55"/>
      <c r="P9" s="63"/>
    </row>
    <row r="10" spans="1:16" s="60" customFormat="1" ht="18.45" customHeight="1" x14ac:dyDescent="0.25">
      <c r="A10" s="58" t="s">
        <v>3</v>
      </c>
      <c r="B10" s="59"/>
      <c r="C10" s="260">
        <f>C4+7</f>
        <v>45571</v>
      </c>
      <c r="D10" s="251"/>
      <c r="E10" s="261">
        <f>C10+1</f>
        <v>45572</v>
      </c>
      <c r="F10" s="262"/>
      <c r="G10" s="261">
        <f>E10+1</f>
        <v>45573</v>
      </c>
      <c r="H10" s="262"/>
      <c r="I10" s="261">
        <f>G10+1</f>
        <v>45574</v>
      </c>
      <c r="J10" s="262"/>
      <c r="K10" s="261">
        <f>I10+1</f>
        <v>45575</v>
      </c>
      <c r="L10" s="262"/>
      <c r="M10" s="261">
        <f>K10+1</f>
        <v>45576</v>
      </c>
      <c r="N10" s="262"/>
      <c r="O10" s="263">
        <f>M10+1</f>
        <v>45577</v>
      </c>
      <c r="P10" s="264"/>
    </row>
    <row r="11" spans="1:16" ht="18.45" customHeight="1" x14ac:dyDescent="0.25">
      <c r="A11" s="243" t="s">
        <v>29</v>
      </c>
      <c r="B11" s="59" t="str">
        <f>조편성!C$14</f>
        <v>장영대김대화</v>
      </c>
      <c r="C11" s="56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57"/>
      <c r="O11" s="55"/>
      <c r="P11" s="63"/>
    </row>
    <row r="12" spans="1:16" ht="18.45" customHeight="1" x14ac:dyDescent="0.25">
      <c r="A12" s="244"/>
      <c r="B12" s="59" t="str">
        <f>조편성!$C$15</f>
        <v>안성용</v>
      </c>
      <c r="C12" s="56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57"/>
      <c r="O12" s="55"/>
      <c r="P12" s="63"/>
    </row>
    <row r="13" spans="1:16" ht="18.45" customHeight="1" x14ac:dyDescent="0.25">
      <c r="A13" s="243" t="s">
        <v>27</v>
      </c>
      <c r="B13" s="59" t="str">
        <f>조편성!$C$16</f>
        <v>오광웅김제원</v>
      </c>
      <c r="C13" s="56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57"/>
      <c r="O13" s="55"/>
      <c r="P13" s="63"/>
    </row>
    <row r="14" spans="1:16" ht="18.45" customHeight="1" x14ac:dyDescent="0.25">
      <c r="A14" s="244"/>
      <c r="B14" s="59" t="str">
        <f>조편성!$C$17</f>
        <v>위선옥</v>
      </c>
      <c r="C14" s="56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57"/>
      <c r="O14" s="55"/>
      <c r="P14" s="63"/>
    </row>
    <row r="15" spans="1:16" ht="18.45" customHeight="1" x14ac:dyDescent="0.25">
      <c r="A15" s="58" t="s">
        <v>25</v>
      </c>
      <c r="B15" s="59" t="str">
        <f>조편성!$C$18</f>
        <v>한영희신대진</v>
      </c>
      <c r="C15" s="56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57"/>
      <c r="O15" s="55"/>
      <c r="P15" s="63"/>
    </row>
    <row r="16" spans="1:16" s="60" customFormat="1" ht="18.45" customHeight="1" x14ac:dyDescent="0.25">
      <c r="A16" s="58" t="s">
        <v>3</v>
      </c>
      <c r="B16" s="59"/>
      <c r="C16" s="260">
        <f>C10+7</f>
        <v>45578</v>
      </c>
      <c r="D16" s="251"/>
      <c r="E16" s="261">
        <f>C16+1</f>
        <v>45579</v>
      </c>
      <c r="F16" s="262"/>
      <c r="G16" s="261">
        <f>E16+1</f>
        <v>45580</v>
      </c>
      <c r="H16" s="262"/>
      <c r="I16" s="261">
        <f>G16+1</f>
        <v>45581</v>
      </c>
      <c r="J16" s="262"/>
      <c r="K16" s="261">
        <f>I16+1</f>
        <v>45582</v>
      </c>
      <c r="L16" s="262"/>
      <c r="M16" s="261">
        <f>K16+1</f>
        <v>45583</v>
      </c>
      <c r="N16" s="262"/>
      <c r="O16" s="263">
        <f>M16+1</f>
        <v>45584</v>
      </c>
      <c r="P16" s="264"/>
    </row>
    <row r="17" spans="1:16" ht="18.45" customHeight="1" x14ac:dyDescent="0.25">
      <c r="A17" s="243" t="s">
        <v>29</v>
      </c>
      <c r="B17" s="59" t="str">
        <f>조편성!C$14</f>
        <v>장영대김대화</v>
      </c>
      <c r="C17" s="56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57"/>
      <c r="O17" s="55"/>
      <c r="P17" s="63"/>
    </row>
    <row r="18" spans="1:16" ht="18.45" customHeight="1" x14ac:dyDescent="0.25">
      <c r="A18" s="244"/>
      <c r="B18" s="59" t="str">
        <f>조편성!$C$15</f>
        <v>안성용</v>
      </c>
      <c r="C18" s="56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57"/>
      <c r="O18" s="55"/>
      <c r="P18" s="63"/>
    </row>
    <row r="19" spans="1:16" ht="18.45" customHeight="1" x14ac:dyDescent="0.25">
      <c r="A19" s="243" t="s">
        <v>27</v>
      </c>
      <c r="B19" s="59" t="str">
        <f>조편성!$C$16</f>
        <v>오광웅김제원</v>
      </c>
      <c r="C19" s="56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57"/>
      <c r="O19" s="55"/>
      <c r="P19" s="63"/>
    </row>
    <row r="20" spans="1:16" ht="18.45" customHeight="1" x14ac:dyDescent="0.25">
      <c r="A20" s="244"/>
      <c r="B20" s="59" t="str">
        <f>조편성!$C$17</f>
        <v>위선옥</v>
      </c>
      <c r="C20" s="56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57"/>
      <c r="O20" s="55"/>
      <c r="P20" s="63"/>
    </row>
    <row r="21" spans="1:16" ht="18.45" customHeight="1" x14ac:dyDescent="0.25">
      <c r="A21" s="58" t="s">
        <v>25</v>
      </c>
      <c r="B21" s="59" t="str">
        <f>조편성!$C$18</f>
        <v>한영희신대진</v>
      </c>
      <c r="C21" s="56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57"/>
      <c r="O21" s="55"/>
      <c r="P21" s="63"/>
    </row>
    <row r="22" spans="1:16" s="60" customFormat="1" ht="18.45" customHeight="1" x14ac:dyDescent="0.25">
      <c r="A22" s="58" t="s">
        <v>3</v>
      </c>
      <c r="B22" s="59"/>
      <c r="C22" s="260">
        <f>C16+7</f>
        <v>45585</v>
      </c>
      <c r="D22" s="251"/>
      <c r="E22" s="261">
        <f>C22+1</f>
        <v>45586</v>
      </c>
      <c r="F22" s="262"/>
      <c r="G22" s="261">
        <f>E22+1</f>
        <v>45587</v>
      </c>
      <c r="H22" s="262"/>
      <c r="I22" s="261">
        <f>G22+1</f>
        <v>45588</v>
      </c>
      <c r="J22" s="262"/>
      <c r="K22" s="261">
        <f>I22+1</f>
        <v>45589</v>
      </c>
      <c r="L22" s="262"/>
      <c r="M22" s="261">
        <f>K22+1</f>
        <v>45590</v>
      </c>
      <c r="N22" s="262"/>
      <c r="O22" s="263">
        <f>M22+1</f>
        <v>45591</v>
      </c>
      <c r="P22" s="264"/>
    </row>
    <row r="23" spans="1:16" ht="18.45" customHeight="1" x14ac:dyDescent="0.25">
      <c r="A23" s="243" t="s">
        <v>29</v>
      </c>
      <c r="B23" s="59" t="str">
        <f>조편성!C$14</f>
        <v>장영대김대화</v>
      </c>
      <c r="C23" s="56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57"/>
      <c r="O23" s="55"/>
      <c r="P23" s="63"/>
    </row>
    <row r="24" spans="1:16" ht="18.45" customHeight="1" x14ac:dyDescent="0.25">
      <c r="A24" s="244"/>
      <c r="B24" s="59" t="str">
        <f>조편성!$C$15</f>
        <v>안성용</v>
      </c>
      <c r="C24" s="56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57"/>
      <c r="O24" s="55"/>
      <c r="P24" s="63"/>
    </row>
    <row r="25" spans="1:16" ht="18.45" customHeight="1" x14ac:dyDescent="0.25">
      <c r="A25" s="243" t="s">
        <v>27</v>
      </c>
      <c r="B25" s="59" t="str">
        <f>조편성!$C$16</f>
        <v>오광웅김제원</v>
      </c>
      <c r="C25" s="56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57"/>
      <c r="O25" s="55"/>
      <c r="P25" s="63"/>
    </row>
    <row r="26" spans="1:16" ht="18.45" customHeight="1" x14ac:dyDescent="0.25">
      <c r="A26" s="244"/>
      <c r="B26" s="59" t="str">
        <f>조편성!$C$17</f>
        <v>위선옥</v>
      </c>
      <c r="C26" s="56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57"/>
      <c r="O26" s="55"/>
      <c r="P26" s="63"/>
    </row>
    <row r="27" spans="1:16" ht="18.45" customHeight="1" x14ac:dyDescent="0.25">
      <c r="A27" s="58" t="s">
        <v>25</v>
      </c>
      <c r="B27" s="59" t="str">
        <f>조편성!$C$18</f>
        <v>한영희신대진</v>
      </c>
      <c r="C27" s="56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57"/>
      <c r="O27" s="55"/>
      <c r="P27" s="63"/>
    </row>
    <row r="28" spans="1:16" s="60" customFormat="1" ht="18.45" customHeight="1" x14ac:dyDescent="0.25">
      <c r="A28" s="58" t="s">
        <v>3</v>
      </c>
      <c r="B28" s="59"/>
      <c r="C28" s="260">
        <f>C22+7</f>
        <v>45592</v>
      </c>
      <c r="D28" s="251"/>
      <c r="E28" s="250">
        <f>C28+1</f>
        <v>45593</v>
      </c>
      <c r="F28" s="251"/>
      <c r="G28" s="250">
        <f>E28+1</f>
        <v>45594</v>
      </c>
      <c r="H28" s="251"/>
      <c r="I28" s="250">
        <f>G28+1</f>
        <v>45595</v>
      </c>
      <c r="J28" s="251"/>
      <c r="K28" s="250">
        <f>I28+1</f>
        <v>45596</v>
      </c>
      <c r="L28" s="251"/>
      <c r="M28" s="250">
        <f>K28+1</f>
        <v>45597</v>
      </c>
      <c r="N28" s="252"/>
      <c r="O28" s="253">
        <f>M28+1</f>
        <v>45598</v>
      </c>
      <c r="P28" s="254"/>
    </row>
    <row r="29" spans="1:16" ht="18.45" customHeight="1" x14ac:dyDescent="0.25">
      <c r="A29" s="243" t="s">
        <v>29</v>
      </c>
      <c r="B29" s="59" t="str">
        <f>조편성!C$14</f>
        <v>장영대김대화</v>
      </c>
      <c r="C29" s="56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57"/>
      <c r="O29" s="55"/>
      <c r="P29" s="63"/>
    </row>
    <row r="30" spans="1:16" ht="18.45" customHeight="1" x14ac:dyDescent="0.25">
      <c r="A30" s="244"/>
      <c r="B30" s="59" t="str">
        <f>조편성!$C$15</f>
        <v>안성용</v>
      </c>
      <c r="C30" s="56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57"/>
      <c r="O30" s="55"/>
      <c r="P30" s="63"/>
    </row>
    <row r="31" spans="1:16" ht="18.45" customHeight="1" x14ac:dyDescent="0.25">
      <c r="A31" s="243" t="s">
        <v>27</v>
      </c>
      <c r="B31" s="59" t="str">
        <f>조편성!$C$16</f>
        <v>오광웅김제원</v>
      </c>
      <c r="C31" s="56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57"/>
      <c r="O31" s="55"/>
      <c r="P31" s="63"/>
    </row>
    <row r="32" spans="1:16" ht="18.45" customHeight="1" x14ac:dyDescent="0.25">
      <c r="A32" s="244"/>
      <c r="B32" s="59" t="str">
        <f>조편성!$C$17</f>
        <v>위선옥</v>
      </c>
      <c r="C32" s="56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57"/>
      <c r="O32" s="55"/>
      <c r="P32" s="63"/>
    </row>
    <row r="33" spans="1:22" ht="18.45" customHeight="1" x14ac:dyDescent="0.25">
      <c r="A33" s="58" t="s">
        <v>25</v>
      </c>
      <c r="B33" s="59" t="str">
        <f>조편성!$C$18</f>
        <v>한영희신대진</v>
      </c>
      <c r="C33" s="56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57"/>
      <c r="O33" s="55"/>
      <c r="P33" s="63"/>
    </row>
    <row r="38" spans="1:22" ht="18.45" customHeight="1" x14ac:dyDescent="0.45">
      <c r="A38" s="51" ph="1"/>
      <c r="B38" s="51" ph="1"/>
      <c r="C38" s="51" ph="1"/>
      <c r="D38" s="51" ph="1"/>
      <c r="E38" s="51" ph="1"/>
      <c r="F38" s="51" ph="1"/>
      <c r="G38" s="51" ph="1"/>
      <c r="H38" s="51" ph="1"/>
      <c r="I38" s="51" ph="1"/>
      <c r="J38" s="51" ph="1"/>
      <c r="K38" s="51" ph="1"/>
      <c r="L38" s="51" ph="1"/>
      <c r="M38" s="51" ph="1"/>
      <c r="N38" s="51" ph="1"/>
      <c r="O38" s="51" ph="1"/>
      <c r="P38" s="51" ph="1"/>
      <c r="Q38" s="51" ph="1"/>
      <c r="R38" s="51" ph="1"/>
      <c r="S38" s="51" ph="1"/>
      <c r="T38" s="51" ph="1"/>
      <c r="U38" s="51" ph="1"/>
      <c r="V38" s="51" ph="1"/>
    </row>
    <row r="39" spans="1:22" ht="18.45" customHeight="1" x14ac:dyDescent="0.45">
      <c r="A39" s="51" ph="1"/>
      <c r="B39" s="51" ph="1"/>
      <c r="C39" s="51" ph="1"/>
      <c r="D39" s="51" ph="1"/>
      <c r="E39" s="51" ph="1"/>
      <c r="F39" s="51" ph="1"/>
      <c r="G39" s="51" ph="1"/>
      <c r="H39" s="51" ph="1"/>
      <c r="I39" s="51" ph="1"/>
      <c r="J39" s="51" ph="1"/>
      <c r="K39" s="51" ph="1"/>
      <c r="L39" s="51" ph="1"/>
      <c r="M39" s="51" ph="1"/>
      <c r="N39" s="51" ph="1"/>
      <c r="O39" s="51" ph="1"/>
      <c r="P39" s="51" ph="1"/>
      <c r="Q39" s="51" ph="1"/>
      <c r="R39" s="51" ph="1"/>
      <c r="S39" s="51" ph="1"/>
      <c r="T39" s="51" ph="1"/>
      <c r="U39" s="51" ph="1"/>
      <c r="V39" s="51" ph="1"/>
    </row>
    <row r="40" spans="1:22" ht="18.45" customHeight="1" x14ac:dyDescent="0.45">
      <c r="A40" s="51" ph="1"/>
      <c r="B40" s="51" ph="1"/>
      <c r="C40" s="51" ph="1"/>
      <c r="D40" s="51" ph="1"/>
      <c r="E40" s="51" ph="1"/>
      <c r="F40" s="51" ph="1"/>
      <c r="G40" s="51" ph="1"/>
      <c r="H40" s="51" ph="1"/>
      <c r="I40" s="51" ph="1"/>
      <c r="J40" s="51" ph="1"/>
      <c r="K40" s="51" ph="1"/>
      <c r="L40" s="51" ph="1"/>
      <c r="M40" s="51" ph="1"/>
      <c r="N40" s="51" ph="1"/>
      <c r="O40" s="51" ph="1"/>
      <c r="P40" s="51" ph="1"/>
      <c r="Q40" s="51" ph="1"/>
      <c r="R40" s="51" ph="1"/>
      <c r="S40" s="51" ph="1"/>
      <c r="T40" s="51" ph="1"/>
      <c r="U40" s="51" ph="1"/>
      <c r="V40" s="51" ph="1"/>
    </row>
    <row r="41" spans="1:22" ht="18.45" customHeight="1" x14ac:dyDescent="0.45">
      <c r="A41" s="51" ph="1"/>
      <c r="B41" s="51" ph="1"/>
      <c r="C41" s="51" ph="1"/>
      <c r="D41" s="51" ph="1"/>
      <c r="E41" s="51" ph="1"/>
      <c r="F41" s="51" ph="1"/>
      <c r="G41" s="51" ph="1"/>
      <c r="H41" s="51" ph="1"/>
      <c r="I41" s="51" ph="1"/>
      <c r="J41" s="51" ph="1"/>
      <c r="K41" s="51" ph="1"/>
      <c r="L41" s="51" ph="1"/>
      <c r="M41" s="51" ph="1"/>
      <c r="N41" s="51" ph="1"/>
      <c r="O41" s="51" ph="1"/>
      <c r="P41" s="51" ph="1"/>
      <c r="Q41" s="51" ph="1"/>
      <c r="R41" s="51" ph="1"/>
      <c r="S41" s="51" ph="1"/>
      <c r="T41" s="51" ph="1"/>
      <c r="U41" s="51" ph="1"/>
      <c r="V41" s="51" ph="1"/>
    </row>
    <row r="42" spans="1:22" ht="18.45" customHeight="1" x14ac:dyDescent="0.45">
      <c r="A42" s="51" ph="1"/>
      <c r="B42" s="51" ph="1"/>
      <c r="C42" s="51" ph="1"/>
      <c r="D42" s="51" ph="1"/>
      <c r="E42" s="51" ph="1"/>
      <c r="F42" s="51" ph="1"/>
      <c r="G42" s="51" ph="1"/>
      <c r="H42" s="51" ph="1"/>
      <c r="I42" s="51" ph="1"/>
      <c r="J42" s="51" ph="1"/>
      <c r="K42" s="51" ph="1"/>
      <c r="L42" s="51" ph="1"/>
      <c r="M42" s="51" ph="1"/>
      <c r="N42" s="51" ph="1"/>
      <c r="O42" s="51" ph="1"/>
      <c r="P42" s="51" ph="1"/>
      <c r="Q42" s="51" ph="1"/>
      <c r="R42" s="51" ph="1"/>
      <c r="S42" s="51" ph="1"/>
      <c r="T42" s="51" ph="1"/>
      <c r="U42" s="51" ph="1"/>
      <c r="V42" s="51" ph="1"/>
    </row>
    <row r="43" spans="1:22" ht="18.45" customHeight="1" x14ac:dyDescent="0.45">
      <c r="A43" s="51" ph="1"/>
      <c r="B43" s="51" ph="1"/>
      <c r="C43" s="51" ph="1"/>
      <c r="D43" s="51" ph="1"/>
      <c r="E43" s="51" ph="1"/>
      <c r="F43" s="51" ph="1"/>
      <c r="G43" s="51" ph="1"/>
      <c r="H43" s="51" ph="1"/>
      <c r="I43" s="51" ph="1"/>
      <c r="J43" s="51" ph="1"/>
      <c r="K43" s="51" ph="1"/>
      <c r="L43" s="51" ph="1"/>
      <c r="M43" s="51" ph="1"/>
      <c r="N43" s="51" ph="1"/>
      <c r="O43" s="51" ph="1"/>
      <c r="P43" s="51" ph="1"/>
      <c r="Q43" s="51" ph="1"/>
      <c r="R43" s="51" ph="1"/>
      <c r="S43" s="51" ph="1"/>
      <c r="T43" s="51" ph="1"/>
      <c r="U43" s="51" ph="1"/>
      <c r="V43" s="51" ph="1"/>
    </row>
    <row r="44" spans="1:22" ht="18.45" customHeight="1" x14ac:dyDescent="0.45">
      <c r="A44" s="51" ph="1"/>
      <c r="B44" s="51" ph="1"/>
      <c r="C44" s="51" ph="1"/>
      <c r="D44" s="51" ph="1"/>
      <c r="E44" s="51" ph="1"/>
      <c r="F44" s="51" ph="1"/>
      <c r="G44" s="51" ph="1"/>
      <c r="H44" s="51" ph="1"/>
      <c r="I44" s="51" ph="1"/>
      <c r="J44" s="51" ph="1"/>
      <c r="K44" s="51" ph="1"/>
      <c r="L44" s="51" ph="1"/>
      <c r="M44" s="51" ph="1"/>
      <c r="N44" s="51" ph="1"/>
      <c r="O44" s="51" ph="1"/>
      <c r="P44" s="51" ph="1"/>
      <c r="Q44" s="51" ph="1"/>
      <c r="R44" s="51" ph="1"/>
      <c r="S44" s="51" ph="1"/>
      <c r="T44" s="51" ph="1"/>
      <c r="U44" s="51" ph="1"/>
      <c r="V44" s="51" ph="1"/>
    </row>
    <row r="45" spans="1:22" ht="18.45" customHeight="1" x14ac:dyDescent="0.45">
      <c r="A45" s="51" ph="1"/>
      <c r="B45" s="51" ph="1"/>
      <c r="C45" s="51" ph="1"/>
      <c r="D45" s="51" ph="1"/>
      <c r="E45" s="51" ph="1"/>
      <c r="F45" s="51" ph="1"/>
      <c r="G45" s="51" ph="1"/>
      <c r="H45" s="51" ph="1"/>
      <c r="I45" s="51" ph="1"/>
      <c r="J45" s="51" ph="1"/>
      <c r="K45" s="51" ph="1"/>
      <c r="L45" s="51" ph="1"/>
      <c r="M45" s="51" ph="1"/>
      <c r="N45" s="51" ph="1"/>
      <c r="O45" s="51" ph="1"/>
      <c r="P45" s="51" ph="1"/>
      <c r="Q45" s="51" ph="1"/>
      <c r="R45" s="51" ph="1"/>
      <c r="S45" s="51" ph="1"/>
      <c r="T45" s="51" ph="1"/>
      <c r="U45" s="51" ph="1"/>
      <c r="V45" s="51" ph="1"/>
    </row>
    <row r="46" spans="1:22" ht="18.45" customHeight="1" x14ac:dyDescent="0.45">
      <c r="A46" s="51" ph="1"/>
      <c r="B46" s="51" ph="1"/>
      <c r="C46" s="51" ph="1"/>
      <c r="D46" s="51" ph="1"/>
      <c r="E46" s="51" ph="1"/>
      <c r="F46" s="51" ph="1"/>
      <c r="G46" s="51" ph="1"/>
      <c r="H46" s="51" ph="1"/>
      <c r="I46" s="51" ph="1"/>
      <c r="J46" s="51" ph="1"/>
      <c r="K46" s="51" ph="1"/>
      <c r="L46" s="51" ph="1"/>
      <c r="M46" s="51" ph="1"/>
      <c r="N46" s="51" ph="1"/>
      <c r="O46" s="51" ph="1"/>
      <c r="P46" s="51" ph="1"/>
      <c r="Q46" s="51" ph="1"/>
      <c r="R46" s="51" ph="1"/>
      <c r="S46" s="51" ph="1"/>
      <c r="T46" s="51" ph="1"/>
      <c r="U46" s="51" ph="1"/>
      <c r="V46" s="51" ph="1"/>
    </row>
    <row r="47" spans="1:22" ht="18.45" customHeight="1" x14ac:dyDescent="0.45">
      <c r="A47" s="51" ph="1"/>
      <c r="B47" s="51" ph="1"/>
      <c r="C47" s="51" ph="1"/>
      <c r="D47" s="51" ph="1"/>
      <c r="E47" s="51" ph="1"/>
      <c r="F47" s="51" ph="1"/>
      <c r="G47" s="51" ph="1"/>
      <c r="H47" s="51" ph="1"/>
      <c r="I47" s="51" ph="1"/>
      <c r="J47" s="51" ph="1"/>
      <c r="K47" s="51" ph="1"/>
      <c r="L47" s="51" ph="1"/>
      <c r="M47" s="51" ph="1"/>
      <c r="N47" s="51" ph="1"/>
      <c r="O47" s="51" ph="1"/>
      <c r="P47" s="51" ph="1"/>
      <c r="Q47" s="51" ph="1"/>
      <c r="R47" s="51" ph="1"/>
      <c r="S47" s="51" ph="1"/>
      <c r="T47" s="51" ph="1"/>
      <c r="U47" s="51" ph="1"/>
      <c r="V47" s="51" ph="1"/>
    </row>
    <row r="48" spans="1:22" ht="18.45" customHeight="1" x14ac:dyDescent="0.45">
      <c r="A48" s="51" ph="1"/>
      <c r="B48" s="51" ph="1"/>
      <c r="C48" s="51" ph="1"/>
      <c r="D48" s="51" ph="1"/>
      <c r="E48" s="51" ph="1"/>
      <c r="F48" s="51" ph="1"/>
      <c r="G48" s="51" ph="1"/>
      <c r="H48" s="51" ph="1"/>
      <c r="I48" s="51" ph="1"/>
      <c r="J48" s="51" ph="1"/>
      <c r="K48" s="51" ph="1"/>
      <c r="L48" s="51" ph="1"/>
      <c r="M48" s="51" ph="1"/>
      <c r="N48" s="51" ph="1"/>
      <c r="O48" s="51" ph="1"/>
      <c r="P48" s="51" ph="1"/>
      <c r="Q48" s="51" ph="1"/>
      <c r="R48" s="51" ph="1"/>
      <c r="S48" s="51" ph="1"/>
      <c r="T48" s="51" ph="1"/>
      <c r="U48" s="51" ph="1"/>
      <c r="V48" s="51" ph="1"/>
    </row>
    <row r="49" spans="1:22" ht="18.45" customHeight="1" x14ac:dyDescent="0.45">
      <c r="A49" s="51" ph="1"/>
      <c r="B49" s="51" ph="1"/>
      <c r="C49" s="51" ph="1"/>
      <c r="D49" s="51" ph="1"/>
      <c r="E49" s="51" ph="1"/>
      <c r="F49" s="51" ph="1"/>
      <c r="G49" s="51" ph="1"/>
      <c r="H49" s="51" ph="1"/>
      <c r="I49" s="51" ph="1"/>
      <c r="J49" s="51" ph="1"/>
      <c r="K49" s="51" ph="1"/>
      <c r="L49" s="51" ph="1"/>
      <c r="M49" s="51" ph="1"/>
      <c r="N49" s="51" ph="1"/>
      <c r="O49" s="51" ph="1"/>
      <c r="P49" s="51" ph="1"/>
      <c r="Q49" s="51" ph="1"/>
      <c r="R49" s="51" ph="1"/>
      <c r="S49" s="51" ph="1"/>
      <c r="T49" s="51" ph="1"/>
      <c r="U49" s="51" ph="1"/>
      <c r="V49" s="51" ph="1"/>
    </row>
    <row r="50" spans="1:22" ht="18.45" customHeight="1" x14ac:dyDescent="0.45">
      <c r="A50" s="51" ph="1"/>
      <c r="B50" s="51" ph="1"/>
      <c r="C50" s="51" ph="1"/>
      <c r="D50" s="51" ph="1"/>
      <c r="E50" s="51" ph="1"/>
      <c r="F50" s="51" ph="1"/>
      <c r="G50" s="51" ph="1"/>
      <c r="H50" s="51" ph="1"/>
      <c r="I50" s="51" ph="1"/>
      <c r="J50" s="51" ph="1"/>
      <c r="K50" s="51" ph="1"/>
      <c r="L50" s="51" ph="1"/>
      <c r="M50" s="51" ph="1"/>
      <c r="N50" s="51" ph="1"/>
      <c r="O50" s="51" ph="1"/>
      <c r="P50" s="51" ph="1"/>
      <c r="Q50" s="51" ph="1"/>
      <c r="R50" s="51" ph="1"/>
      <c r="S50" s="51" ph="1"/>
      <c r="T50" s="51" ph="1"/>
      <c r="U50" s="51" ph="1"/>
      <c r="V50" s="51" ph="1"/>
    </row>
    <row r="51" spans="1:22" ht="18.45" customHeight="1" x14ac:dyDescent="0.45">
      <c r="A51" s="51" ph="1"/>
      <c r="B51" s="51" ph="1"/>
      <c r="C51" s="51" ph="1"/>
      <c r="D51" s="51" ph="1"/>
      <c r="E51" s="51" ph="1"/>
      <c r="F51" s="51" ph="1"/>
      <c r="G51" s="51" ph="1"/>
      <c r="H51" s="51" ph="1"/>
      <c r="I51" s="51" ph="1"/>
      <c r="J51" s="51" ph="1"/>
      <c r="K51" s="51" ph="1"/>
      <c r="L51" s="51" ph="1"/>
      <c r="M51" s="51" ph="1"/>
      <c r="N51" s="51" ph="1"/>
      <c r="O51" s="51" ph="1"/>
      <c r="P51" s="51" ph="1"/>
      <c r="Q51" s="51" ph="1"/>
      <c r="R51" s="51" ph="1"/>
      <c r="S51" s="51" ph="1"/>
      <c r="T51" s="51" ph="1"/>
      <c r="U51" s="51" ph="1"/>
      <c r="V51" s="51" ph="1"/>
    </row>
    <row r="52" spans="1:22" ht="18.45" customHeight="1" x14ac:dyDescent="0.45">
      <c r="A52" s="51" ph="1"/>
      <c r="B52" s="51" ph="1"/>
      <c r="C52" s="51" ph="1"/>
      <c r="D52" s="51" ph="1"/>
      <c r="E52" s="51" ph="1"/>
      <c r="F52" s="51" ph="1"/>
      <c r="G52" s="51" ph="1"/>
      <c r="H52" s="51" ph="1"/>
      <c r="I52" s="51" ph="1"/>
      <c r="J52" s="51" ph="1"/>
      <c r="K52" s="51" ph="1"/>
      <c r="L52" s="51" ph="1"/>
      <c r="M52" s="51" ph="1"/>
      <c r="N52" s="51" ph="1"/>
      <c r="O52" s="51" ph="1"/>
      <c r="P52" s="51" ph="1"/>
      <c r="Q52" s="51" ph="1"/>
      <c r="R52" s="51" ph="1"/>
      <c r="S52" s="51" ph="1"/>
      <c r="T52" s="51" ph="1"/>
      <c r="U52" s="51" ph="1"/>
      <c r="V52" s="51" ph="1"/>
    </row>
    <row r="53" spans="1:22" ht="18.45" customHeight="1" x14ac:dyDescent="0.45">
      <c r="A53" s="51" ph="1"/>
      <c r="B53" s="51" ph="1"/>
      <c r="C53" s="51" ph="1"/>
      <c r="D53" s="51" ph="1"/>
      <c r="E53" s="51" ph="1"/>
      <c r="F53" s="51" ph="1"/>
      <c r="G53" s="51" ph="1"/>
      <c r="H53" s="51" ph="1"/>
      <c r="I53" s="51" ph="1"/>
      <c r="J53" s="51" ph="1"/>
      <c r="K53" s="51" ph="1"/>
      <c r="L53" s="51" ph="1"/>
      <c r="M53" s="51" ph="1"/>
      <c r="N53" s="51" ph="1"/>
      <c r="O53" s="51" ph="1"/>
      <c r="P53" s="51" ph="1"/>
      <c r="Q53" s="51" ph="1"/>
      <c r="R53" s="51" ph="1"/>
      <c r="S53" s="51" ph="1"/>
      <c r="T53" s="51" ph="1"/>
      <c r="U53" s="51" ph="1"/>
      <c r="V53" s="51" ph="1"/>
    </row>
    <row r="54" spans="1:22" ht="18.45" customHeight="1" x14ac:dyDescent="0.45">
      <c r="A54" s="51" ph="1"/>
      <c r="B54" s="51" ph="1"/>
      <c r="C54" s="51" ph="1"/>
      <c r="D54" s="51" ph="1"/>
      <c r="E54" s="51" ph="1"/>
      <c r="F54" s="51" ph="1"/>
      <c r="G54" s="51" ph="1"/>
      <c r="H54" s="51" ph="1"/>
      <c r="I54" s="51" ph="1"/>
      <c r="J54" s="51" ph="1"/>
      <c r="K54" s="51" ph="1"/>
      <c r="L54" s="51" ph="1"/>
      <c r="M54" s="51" ph="1"/>
      <c r="N54" s="51" ph="1"/>
      <c r="O54" s="51" ph="1"/>
      <c r="P54" s="51" ph="1"/>
      <c r="Q54" s="51" ph="1"/>
      <c r="R54" s="51" ph="1"/>
      <c r="S54" s="51" ph="1"/>
      <c r="T54" s="51" ph="1"/>
      <c r="U54" s="51" ph="1"/>
      <c r="V54" s="51" ph="1"/>
    </row>
    <row r="55" spans="1:22" ht="18.45" customHeight="1" x14ac:dyDescent="0.45">
      <c r="A55" s="51" ph="1"/>
      <c r="B55" s="51" ph="1"/>
      <c r="C55" s="51" ph="1"/>
      <c r="D55" s="51" ph="1"/>
      <c r="E55" s="51" ph="1"/>
      <c r="F55" s="51" ph="1"/>
      <c r="G55" s="51" ph="1"/>
      <c r="H55" s="51" ph="1"/>
      <c r="I55" s="51" ph="1"/>
      <c r="J55" s="51" ph="1"/>
      <c r="K55" s="51" ph="1"/>
      <c r="L55" s="51" ph="1"/>
      <c r="M55" s="51" ph="1"/>
      <c r="N55" s="51" ph="1"/>
      <c r="O55" s="51" ph="1"/>
      <c r="P55" s="51" ph="1"/>
      <c r="Q55" s="51" ph="1"/>
      <c r="R55" s="51" ph="1"/>
      <c r="S55" s="51" ph="1"/>
      <c r="T55" s="51" ph="1"/>
      <c r="U55" s="51" ph="1"/>
      <c r="V55" s="51" ph="1"/>
    </row>
    <row r="56" spans="1:22" ht="18.45" customHeight="1" x14ac:dyDescent="0.45">
      <c r="A56" s="51" ph="1"/>
      <c r="B56" s="51" ph="1"/>
      <c r="C56" s="51" ph="1"/>
      <c r="D56" s="51" ph="1"/>
      <c r="E56" s="51" ph="1"/>
      <c r="F56" s="51" ph="1"/>
      <c r="G56" s="51" ph="1"/>
      <c r="H56" s="51" ph="1"/>
      <c r="I56" s="51" ph="1"/>
      <c r="J56" s="51" ph="1"/>
      <c r="K56" s="51" ph="1"/>
      <c r="L56" s="51" ph="1"/>
      <c r="M56" s="51" ph="1"/>
      <c r="N56" s="51" ph="1"/>
      <c r="O56" s="51" ph="1"/>
      <c r="P56" s="51" ph="1"/>
      <c r="Q56" s="51" ph="1"/>
      <c r="R56" s="51" ph="1"/>
      <c r="S56" s="51" ph="1"/>
      <c r="T56" s="51" ph="1"/>
      <c r="U56" s="51" ph="1"/>
      <c r="V56" s="51" ph="1"/>
    </row>
    <row r="57" spans="1:22" ht="18.45" customHeight="1" x14ac:dyDescent="0.45">
      <c r="A57" s="51" ph="1"/>
      <c r="B57" s="51" ph="1"/>
      <c r="C57" s="51" ph="1"/>
      <c r="D57" s="51" ph="1"/>
      <c r="E57" s="51" ph="1"/>
      <c r="F57" s="51" ph="1"/>
      <c r="G57" s="51" ph="1"/>
      <c r="H57" s="51" ph="1"/>
      <c r="I57" s="51" ph="1"/>
      <c r="J57" s="51" ph="1"/>
      <c r="K57" s="51" ph="1"/>
      <c r="L57" s="51" ph="1"/>
      <c r="M57" s="51" ph="1"/>
      <c r="N57" s="51" ph="1"/>
      <c r="O57" s="51" ph="1"/>
      <c r="P57" s="51" ph="1"/>
      <c r="Q57" s="51" ph="1"/>
      <c r="R57" s="51" ph="1"/>
      <c r="S57" s="51" ph="1"/>
      <c r="T57" s="51" ph="1"/>
      <c r="U57" s="51" ph="1"/>
      <c r="V57" s="51" ph="1"/>
    </row>
    <row r="58" spans="1:22" ht="18.45" customHeight="1" x14ac:dyDescent="0.45">
      <c r="A58" s="51" ph="1"/>
      <c r="B58" s="51" ph="1"/>
      <c r="C58" s="51" ph="1"/>
      <c r="D58" s="51" ph="1"/>
      <c r="E58" s="51" ph="1"/>
      <c r="F58" s="51" ph="1"/>
      <c r="G58" s="51" ph="1"/>
      <c r="H58" s="51" ph="1"/>
      <c r="I58" s="51" ph="1"/>
      <c r="J58" s="51" ph="1"/>
      <c r="K58" s="51" ph="1"/>
      <c r="L58" s="51" ph="1"/>
      <c r="M58" s="51" ph="1"/>
      <c r="N58" s="51" ph="1"/>
      <c r="O58" s="51" ph="1"/>
      <c r="P58" s="51" ph="1"/>
      <c r="Q58" s="51" ph="1"/>
      <c r="R58" s="51" ph="1"/>
      <c r="S58" s="51" ph="1"/>
      <c r="T58" s="51" ph="1"/>
      <c r="U58" s="51" ph="1"/>
      <c r="V58" s="51" ph="1"/>
    </row>
    <row r="59" spans="1:22" ht="18.45" customHeight="1" x14ac:dyDescent="0.45">
      <c r="A59" s="51" ph="1"/>
      <c r="B59" s="51" ph="1"/>
      <c r="C59" s="51" ph="1"/>
      <c r="D59" s="51" ph="1"/>
      <c r="E59" s="51" ph="1"/>
      <c r="F59" s="51" ph="1"/>
      <c r="G59" s="51" ph="1"/>
      <c r="H59" s="51" ph="1"/>
      <c r="I59" s="51" ph="1"/>
      <c r="J59" s="51" ph="1"/>
      <c r="K59" s="51" ph="1"/>
      <c r="L59" s="51" ph="1"/>
      <c r="M59" s="51" ph="1"/>
      <c r="N59" s="51" ph="1"/>
      <c r="O59" s="51" ph="1"/>
      <c r="P59" s="51" ph="1"/>
      <c r="Q59" s="51" ph="1"/>
      <c r="R59" s="51" ph="1"/>
      <c r="S59" s="51" ph="1"/>
      <c r="T59" s="51" ph="1"/>
      <c r="U59" s="51" ph="1"/>
      <c r="V59" s="51" ph="1"/>
    </row>
    <row r="60" spans="1:22" ht="18.45" customHeight="1" x14ac:dyDescent="0.45">
      <c r="A60" s="51" ph="1"/>
      <c r="B60" s="51" ph="1"/>
      <c r="C60" s="51" ph="1"/>
      <c r="D60" s="51" ph="1"/>
      <c r="E60" s="51" ph="1"/>
      <c r="F60" s="51" ph="1"/>
      <c r="G60" s="51" ph="1"/>
      <c r="H60" s="51" ph="1"/>
      <c r="I60" s="51" ph="1"/>
      <c r="J60" s="51" ph="1"/>
      <c r="K60" s="51" ph="1"/>
      <c r="L60" s="51" ph="1"/>
      <c r="M60" s="51" ph="1"/>
      <c r="N60" s="51" ph="1"/>
      <c r="O60" s="51" ph="1"/>
      <c r="P60" s="51" ph="1"/>
      <c r="Q60" s="51" ph="1"/>
      <c r="R60" s="51" ph="1"/>
      <c r="S60" s="51" ph="1"/>
      <c r="T60" s="51" ph="1"/>
      <c r="U60" s="51" ph="1"/>
      <c r="V60" s="51" ph="1"/>
    </row>
    <row r="61" spans="1:22" ht="18.45" customHeight="1" x14ac:dyDescent="0.45">
      <c r="A61" s="51" ph="1"/>
      <c r="B61" s="51" ph="1"/>
      <c r="C61" s="51" ph="1"/>
      <c r="D61" s="51" ph="1"/>
      <c r="E61" s="51" ph="1"/>
      <c r="F61" s="51" ph="1"/>
      <c r="G61" s="51" ph="1"/>
      <c r="H61" s="51" ph="1"/>
      <c r="I61" s="51" ph="1"/>
      <c r="J61" s="51" ph="1"/>
      <c r="K61" s="51" ph="1"/>
      <c r="L61" s="51" ph="1"/>
      <c r="M61" s="51" ph="1"/>
      <c r="N61" s="51" ph="1"/>
      <c r="O61" s="51" ph="1"/>
      <c r="P61" s="51" ph="1"/>
      <c r="Q61" s="51" ph="1"/>
      <c r="R61" s="51" ph="1"/>
      <c r="S61" s="51" ph="1"/>
      <c r="T61" s="51" ph="1"/>
      <c r="U61" s="51" ph="1"/>
      <c r="V61" s="51" ph="1"/>
    </row>
    <row r="62" spans="1:22" ht="18.45" customHeight="1" x14ac:dyDescent="0.45">
      <c r="A62" s="51" ph="1"/>
      <c r="B62" s="51" ph="1"/>
      <c r="C62" s="51" ph="1"/>
      <c r="D62" s="51" ph="1"/>
      <c r="E62" s="51" ph="1"/>
      <c r="F62" s="51" ph="1"/>
      <c r="G62" s="51" ph="1"/>
      <c r="H62" s="51" ph="1"/>
      <c r="I62" s="51" ph="1"/>
      <c r="J62" s="51" ph="1"/>
      <c r="K62" s="51" ph="1"/>
      <c r="L62" s="51" ph="1"/>
      <c r="M62" s="51" ph="1"/>
      <c r="N62" s="51" ph="1"/>
      <c r="O62" s="51" ph="1"/>
      <c r="P62" s="51" ph="1"/>
      <c r="Q62" s="51" ph="1"/>
      <c r="R62" s="51" ph="1"/>
      <c r="S62" s="51" ph="1"/>
      <c r="T62" s="51" ph="1"/>
      <c r="U62" s="51" ph="1"/>
      <c r="V62" s="51" ph="1"/>
    </row>
    <row r="63" spans="1:22" ht="18.45" customHeight="1" x14ac:dyDescent="0.45">
      <c r="A63" s="51" ph="1"/>
      <c r="B63" s="51" ph="1"/>
      <c r="C63" s="51" ph="1"/>
      <c r="D63" s="51" ph="1"/>
      <c r="E63" s="51" ph="1"/>
      <c r="F63" s="51" ph="1"/>
      <c r="G63" s="51" ph="1"/>
      <c r="H63" s="51" ph="1"/>
      <c r="I63" s="51" ph="1"/>
      <c r="J63" s="51" ph="1"/>
      <c r="K63" s="51" ph="1"/>
      <c r="L63" s="51" ph="1"/>
      <c r="M63" s="51" ph="1"/>
      <c r="N63" s="51" ph="1"/>
      <c r="O63" s="51" ph="1"/>
      <c r="P63" s="51" ph="1"/>
      <c r="Q63" s="51" ph="1"/>
      <c r="R63" s="51" ph="1"/>
      <c r="S63" s="51" ph="1"/>
      <c r="T63" s="51" ph="1"/>
      <c r="U63" s="51" ph="1"/>
      <c r="V63" s="51" ph="1"/>
    </row>
    <row r="64" spans="1:22" ht="18.45" customHeight="1" x14ac:dyDescent="0.45">
      <c r="A64" s="51" ph="1"/>
      <c r="B64" s="51" ph="1"/>
      <c r="C64" s="51" ph="1"/>
      <c r="D64" s="51" ph="1"/>
      <c r="E64" s="51" ph="1"/>
      <c r="F64" s="51" ph="1"/>
      <c r="G64" s="51" ph="1"/>
      <c r="H64" s="51" ph="1"/>
      <c r="I64" s="51" ph="1"/>
      <c r="J64" s="51" ph="1"/>
      <c r="K64" s="51" ph="1"/>
      <c r="L64" s="51" ph="1"/>
      <c r="M64" s="51" ph="1"/>
      <c r="N64" s="51" ph="1"/>
      <c r="O64" s="51" ph="1"/>
      <c r="P64" s="51" ph="1"/>
      <c r="Q64" s="51" ph="1"/>
      <c r="R64" s="51" ph="1"/>
      <c r="S64" s="51" ph="1"/>
      <c r="T64" s="51" ph="1"/>
      <c r="U64" s="51" ph="1"/>
      <c r="V64" s="51" ph="1"/>
    </row>
    <row r="65" spans="1:22" ht="18.45" customHeight="1" x14ac:dyDescent="0.45">
      <c r="A65" s="51" ph="1"/>
      <c r="B65" s="51" ph="1"/>
      <c r="C65" s="51" ph="1"/>
      <c r="D65" s="51" ph="1"/>
      <c r="E65" s="51" ph="1"/>
      <c r="F65" s="51" ph="1"/>
      <c r="G65" s="51" ph="1"/>
      <c r="H65" s="51" ph="1"/>
      <c r="I65" s="51" ph="1"/>
      <c r="J65" s="51" ph="1"/>
      <c r="K65" s="51" ph="1"/>
      <c r="L65" s="51" ph="1"/>
      <c r="M65" s="51" ph="1"/>
      <c r="N65" s="51" ph="1"/>
      <c r="O65" s="51" ph="1"/>
      <c r="P65" s="51" ph="1"/>
      <c r="Q65" s="51" ph="1"/>
      <c r="R65" s="51" ph="1"/>
      <c r="S65" s="51" ph="1"/>
      <c r="T65" s="51" ph="1"/>
      <c r="U65" s="51" ph="1"/>
      <c r="V65" s="51" ph="1"/>
    </row>
    <row r="66" spans="1:22" ht="18.45" customHeight="1" x14ac:dyDescent="0.45">
      <c r="A66" s="51" ph="1"/>
      <c r="B66" s="51" ph="1"/>
      <c r="C66" s="51" ph="1"/>
      <c r="D66" s="51" ph="1"/>
      <c r="E66" s="51" ph="1"/>
      <c r="F66" s="51" ph="1"/>
      <c r="G66" s="51" ph="1"/>
      <c r="H66" s="51" ph="1"/>
      <c r="I66" s="51" ph="1"/>
      <c r="J66" s="51" ph="1"/>
      <c r="K66" s="51" ph="1"/>
      <c r="L66" s="51" ph="1"/>
      <c r="M66" s="51" ph="1"/>
      <c r="N66" s="51" ph="1"/>
      <c r="O66" s="51" ph="1"/>
      <c r="P66" s="51" ph="1"/>
      <c r="Q66" s="51" ph="1"/>
      <c r="R66" s="51" ph="1"/>
      <c r="S66" s="51" ph="1"/>
      <c r="T66" s="51" ph="1"/>
      <c r="U66" s="51" ph="1"/>
      <c r="V66" s="51" ph="1"/>
    </row>
    <row r="67" spans="1:22" ht="18.45" customHeight="1" x14ac:dyDescent="0.45">
      <c r="A67" s="51" ph="1"/>
      <c r="B67" s="51" ph="1"/>
      <c r="C67" s="51" ph="1"/>
      <c r="D67" s="51" ph="1"/>
      <c r="E67" s="51" ph="1"/>
      <c r="F67" s="51" ph="1"/>
      <c r="G67" s="51" ph="1"/>
      <c r="H67" s="51" ph="1"/>
      <c r="I67" s="51" ph="1"/>
      <c r="J67" s="51" ph="1"/>
      <c r="K67" s="51" ph="1"/>
      <c r="L67" s="51" ph="1"/>
      <c r="M67" s="51" ph="1"/>
      <c r="N67" s="51" ph="1"/>
      <c r="O67" s="51" ph="1"/>
      <c r="P67" s="51" ph="1"/>
      <c r="Q67" s="51" ph="1"/>
      <c r="R67" s="51" ph="1"/>
      <c r="S67" s="51" ph="1"/>
      <c r="T67" s="51" ph="1"/>
      <c r="U67" s="51" ph="1"/>
      <c r="V67" s="51" ph="1"/>
    </row>
    <row r="68" spans="1:22" ht="18.45" customHeight="1" x14ac:dyDescent="0.45">
      <c r="A68" s="51" ph="1"/>
      <c r="B68" s="51" ph="1"/>
      <c r="C68" s="51" ph="1"/>
      <c r="D68" s="51" ph="1"/>
      <c r="E68" s="51" ph="1"/>
      <c r="F68" s="51" ph="1"/>
      <c r="G68" s="51" ph="1"/>
      <c r="H68" s="51" ph="1"/>
      <c r="I68" s="51" ph="1"/>
      <c r="J68" s="51" ph="1"/>
      <c r="K68" s="51" ph="1"/>
      <c r="L68" s="51" ph="1"/>
      <c r="M68" s="51" ph="1"/>
      <c r="N68" s="51" ph="1"/>
      <c r="O68" s="51" ph="1"/>
      <c r="P68" s="51" ph="1"/>
      <c r="Q68" s="51" ph="1"/>
      <c r="R68" s="51" ph="1"/>
      <c r="S68" s="51" ph="1"/>
      <c r="T68" s="51" ph="1"/>
      <c r="U68" s="51" ph="1"/>
      <c r="V68" s="51" ph="1"/>
    </row>
    <row r="69" spans="1:22" ht="18.45" customHeight="1" x14ac:dyDescent="0.45">
      <c r="A69" s="51" ph="1"/>
      <c r="B69" s="51" ph="1"/>
      <c r="C69" s="51" ph="1"/>
      <c r="D69" s="51" ph="1"/>
      <c r="E69" s="51" ph="1"/>
      <c r="F69" s="51" ph="1"/>
      <c r="G69" s="51" ph="1"/>
      <c r="H69" s="51" ph="1"/>
      <c r="I69" s="51" ph="1"/>
      <c r="J69" s="51" ph="1"/>
      <c r="K69" s="51" ph="1"/>
      <c r="L69" s="51" ph="1"/>
      <c r="M69" s="51" ph="1"/>
      <c r="N69" s="51" ph="1"/>
      <c r="O69" s="51" ph="1"/>
      <c r="P69" s="51" ph="1"/>
      <c r="Q69" s="51" ph="1"/>
      <c r="R69" s="51" ph="1"/>
      <c r="S69" s="51" ph="1"/>
      <c r="T69" s="51" ph="1"/>
      <c r="U69" s="51" ph="1"/>
      <c r="V69" s="51" ph="1"/>
    </row>
    <row r="70" spans="1:22" ht="18.45" customHeight="1" x14ac:dyDescent="0.45">
      <c r="A70" s="51" ph="1"/>
      <c r="B70" s="51" ph="1"/>
      <c r="C70" s="51" ph="1"/>
      <c r="D70" s="51" ph="1"/>
      <c r="E70" s="51" ph="1"/>
      <c r="F70" s="51" ph="1"/>
      <c r="G70" s="51" ph="1"/>
      <c r="H70" s="51" ph="1"/>
      <c r="I70" s="51" ph="1"/>
      <c r="J70" s="51" ph="1"/>
      <c r="K70" s="51" ph="1"/>
      <c r="L70" s="51" ph="1"/>
      <c r="M70" s="51" ph="1"/>
      <c r="N70" s="51" ph="1"/>
      <c r="O70" s="51" ph="1"/>
      <c r="P70" s="51" ph="1"/>
      <c r="Q70" s="51" ph="1"/>
      <c r="R70" s="51" ph="1"/>
      <c r="S70" s="51" ph="1"/>
      <c r="T70" s="51" ph="1"/>
      <c r="U70" s="51" ph="1"/>
      <c r="V70" s="51" ph="1"/>
    </row>
    <row r="71" spans="1:22" ht="18.45" customHeight="1" x14ac:dyDescent="0.45">
      <c r="A71" s="51" ph="1"/>
      <c r="B71" s="51" ph="1"/>
      <c r="C71" s="51" ph="1"/>
      <c r="D71" s="51" ph="1"/>
      <c r="E71" s="51" ph="1"/>
      <c r="F71" s="51" ph="1"/>
      <c r="G71" s="51" ph="1"/>
      <c r="H71" s="51" ph="1"/>
      <c r="I71" s="51" ph="1"/>
      <c r="J71" s="51" ph="1"/>
      <c r="K71" s="51" ph="1"/>
      <c r="L71" s="51" ph="1"/>
      <c r="M71" s="51" ph="1"/>
      <c r="N71" s="51" ph="1"/>
      <c r="O71" s="51" ph="1"/>
      <c r="P71" s="51" ph="1"/>
      <c r="Q71" s="51" ph="1"/>
      <c r="R71" s="51" ph="1"/>
      <c r="S71" s="51" ph="1"/>
      <c r="T71" s="51" ph="1"/>
      <c r="U71" s="51" ph="1"/>
      <c r="V71" s="51" ph="1"/>
    </row>
    <row r="72" spans="1:22" ht="18.45" customHeight="1" x14ac:dyDescent="0.45">
      <c r="A72" s="51" ph="1"/>
      <c r="B72" s="51" ph="1"/>
      <c r="C72" s="51" ph="1"/>
      <c r="D72" s="51" ph="1"/>
      <c r="E72" s="51" ph="1"/>
      <c r="F72" s="51" ph="1"/>
      <c r="G72" s="51" ph="1"/>
      <c r="H72" s="51" ph="1"/>
      <c r="I72" s="51" ph="1"/>
      <c r="J72" s="51" ph="1"/>
      <c r="K72" s="51" ph="1"/>
      <c r="L72" s="51" ph="1"/>
      <c r="M72" s="51" ph="1"/>
      <c r="N72" s="51" ph="1"/>
      <c r="O72" s="51" ph="1"/>
      <c r="P72" s="51" ph="1"/>
      <c r="Q72" s="51" ph="1"/>
      <c r="R72" s="51" ph="1"/>
      <c r="S72" s="51" ph="1"/>
      <c r="T72" s="51" ph="1"/>
      <c r="U72" s="51" ph="1"/>
      <c r="V72" s="51" ph="1"/>
    </row>
    <row r="73" spans="1:22" ht="18.45" customHeight="1" x14ac:dyDescent="0.45">
      <c r="A73" s="51" ph="1"/>
      <c r="B73" s="51" ph="1"/>
      <c r="C73" s="51" ph="1"/>
      <c r="D73" s="51" ph="1"/>
      <c r="E73" s="51" ph="1"/>
      <c r="F73" s="51" ph="1"/>
      <c r="G73" s="51" ph="1"/>
      <c r="H73" s="51" ph="1"/>
      <c r="I73" s="51" ph="1"/>
      <c r="J73" s="51" ph="1"/>
      <c r="K73" s="51" ph="1"/>
      <c r="L73" s="51" ph="1"/>
      <c r="M73" s="51" ph="1"/>
      <c r="N73" s="51" ph="1"/>
      <c r="O73" s="51" ph="1"/>
      <c r="P73" s="51" ph="1"/>
      <c r="Q73" s="51" ph="1"/>
      <c r="R73" s="51" ph="1"/>
      <c r="S73" s="51" ph="1"/>
      <c r="T73" s="51" ph="1"/>
      <c r="U73" s="51" ph="1"/>
      <c r="V73" s="51" ph="1"/>
    </row>
    <row r="74" spans="1:22" ht="18.45" customHeight="1" x14ac:dyDescent="0.45">
      <c r="A74" s="51" ph="1"/>
      <c r="B74" s="51" ph="1"/>
      <c r="C74" s="51" ph="1"/>
      <c r="D74" s="51" ph="1"/>
      <c r="E74" s="51" ph="1"/>
      <c r="F74" s="51" ph="1"/>
      <c r="G74" s="51" ph="1"/>
      <c r="H74" s="51" ph="1"/>
      <c r="I74" s="51" ph="1"/>
      <c r="J74" s="51" ph="1"/>
      <c r="K74" s="51" ph="1"/>
      <c r="L74" s="51" ph="1"/>
      <c r="M74" s="51" ph="1"/>
      <c r="N74" s="51" ph="1"/>
      <c r="O74" s="51" ph="1"/>
      <c r="P74" s="51" ph="1"/>
      <c r="Q74" s="51" ph="1"/>
      <c r="R74" s="51" ph="1"/>
      <c r="S74" s="51" ph="1"/>
      <c r="T74" s="51" ph="1"/>
      <c r="U74" s="51" ph="1"/>
      <c r="V74" s="51" ph="1"/>
    </row>
    <row r="75" spans="1:22" ht="18.45" customHeight="1" x14ac:dyDescent="0.45">
      <c r="A75" s="51" ph="1"/>
      <c r="B75" s="51" ph="1"/>
      <c r="C75" s="51" ph="1"/>
      <c r="D75" s="51" ph="1"/>
      <c r="E75" s="51" ph="1"/>
      <c r="F75" s="51" ph="1"/>
      <c r="G75" s="51" ph="1"/>
      <c r="H75" s="51" ph="1"/>
      <c r="I75" s="51" ph="1"/>
      <c r="J75" s="51" ph="1"/>
      <c r="K75" s="51" ph="1"/>
      <c r="L75" s="51" ph="1"/>
      <c r="M75" s="51" ph="1"/>
      <c r="N75" s="51" ph="1"/>
      <c r="O75" s="51" ph="1"/>
      <c r="P75" s="51" ph="1"/>
      <c r="Q75" s="51" ph="1"/>
      <c r="R75" s="51" ph="1"/>
      <c r="S75" s="51" ph="1"/>
      <c r="T75" s="51" ph="1"/>
      <c r="U75" s="51" ph="1"/>
      <c r="V75" s="51" ph="1"/>
    </row>
  </sheetData>
  <mergeCells count="52">
    <mergeCell ref="M22:N22"/>
    <mergeCell ref="O22:P22"/>
    <mergeCell ref="C28:D28"/>
    <mergeCell ref="E28:F28"/>
    <mergeCell ref="G28:H28"/>
    <mergeCell ref="I28:J28"/>
    <mergeCell ref="K28:L28"/>
    <mergeCell ref="M28:N28"/>
    <mergeCell ref="O28:P28"/>
    <mergeCell ref="C22:D22"/>
    <mergeCell ref="E22:F22"/>
    <mergeCell ref="G22:H22"/>
    <mergeCell ref="I22:J22"/>
    <mergeCell ref="K22:L22"/>
    <mergeCell ref="I10:J10"/>
    <mergeCell ref="K10:L10"/>
    <mergeCell ref="M10:N10"/>
    <mergeCell ref="O10:P10"/>
    <mergeCell ref="G16:H16"/>
    <mergeCell ref="I16:J16"/>
    <mergeCell ref="K16:L16"/>
    <mergeCell ref="M16:N16"/>
    <mergeCell ref="O16:P16"/>
    <mergeCell ref="C10:D10"/>
    <mergeCell ref="E10:F10"/>
    <mergeCell ref="G10:H10"/>
    <mergeCell ref="C16:D16"/>
    <mergeCell ref="E16:F16"/>
    <mergeCell ref="M3:N3"/>
    <mergeCell ref="O3:P3"/>
    <mergeCell ref="C4:D4"/>
    <mergeCell ref="E4:F4"/>
    <mergeCell ref="G4:H4"/>
    <mergeCell ref="I4:J4"/>
    <mergeCell ref="K4:L4"/>
    <mergeCell ref="M4:N4"/>
    <mergeCell ref="O4:P4"/>
    <mergeCell ref="C3:D3"/>
    <mergeCell ref="E3:F3"/>
    <mergeCell ref="G3:H3"/>
    <mergeCell ref="I3:J3"/>
    <mergeCell ref="K3:L3"/>
    <mergeCell ref="A19:A20"/>
    <mergeCell ref="A23:A24"/>
    <mergeCell ref="A25:A26"/>
    <mergeCell ref="A29:A30"/>
    <mergeCell ref="A31:A32"/>
    <mergeCell ref="A5:A6"/>
    <mergeCell ref="A7:A8"/>
    <mergeCell ref="A11:A12"/>
    <mergeCell ref="A13:A14"/>
    <mergeCell ref="A17:A18"/>
  </mergeCells>
  <phoneticPr fontId="6" type="noConversion"/>
  <conditionalFormatting sqref="C4 E4 G4 I4 K4 M4 O4">
    <cfRule type="expression" dxfId="12" priority="19">
      <formula>MONTH(C4)&lt;&gt;MONTH(DATE($M$2,$O$2,1))</formula>
    </cfRule>
  </conditionalFormatting>
  <conditionalFormatting sqref="C10 E10 G10 I10 K10 M10 O10">
    <cfRule type="expression" priority="18">
      <formula>MONTH(C10)&lt;&gt;MONTH(daye($M$2,$O$2,1))</formula>
    </cfRule>
  </conditionalFormatting>
  <conditionalFormatting sqref="C16 E16 G16 I16 K16 M16 O16">
    <cfRule type="expression" priority="2">
      <formula>MONTH(C16)&lt;&gt;MONTH(daye($M$2,$O$2,1))</formula>
    </cfRule>
  </conditionalFormatting>
  <conditionalFormatting sqref="C22 E22 G22 I22 K22 M22 O22">
    <cfRule type="expression" priority="1">
      <formula>MONTH(C22)&lt;&gt;MONTH(daye($M$2,$O$2,1))</formula>
    </cfRule>
  </conditionalFormatting>
  <conditionalFormatting sqref="C28 E28 G28 I28 K28 M28 O28">
    <cfRule type="expression" priority="13">
      <formula>MONTH(C28)&lt;&gt;MONTH(daye($M$2,$O$2,1))</formula>
    </cfRule>
  </conditionalFormatting>
  <conditionalFormatting sqref="C28 G28 I28 K28 M28 O28">
    <cfRule type="expression" priority="14">
      <formula>MONTH(C28)&lt;&gt;MONTH(DATE($M$2,$O$2,1))</formula>
    </cfRule>
  </conditionalFormatting>
  <conditionalFormatting sqref="E28 G28 I28 K28 M28 O28">
    <cfRule type="expression" dxfId="11" priority="5">
      <formula>MONTH(E28)&lt;&gt;MONTH(DATE($M$2,$O$2,1))</formula>
    </cfRule>
    <cfRule type="expression" priority="8">
      <formula>MONTH(E$28)&lt;&gt;MONTH(DATE($M$2,$O$2,1))</formula>
    </cfRule>
  </conditionalFormatting>
  <conditionalFormatting sqref="G28">
    <cfRule type="expression" priority="7">
      <formula>"moth(d28)&lt;&gt;month(date($G$2,$H$2,1)"</formula>
    </cfRule>
  </conditionalFormatting>
  <dataValidations count="1">
    <dataValidation type="list" operator="equal" allowBlank="1" showInputMessage="1" showErrorMessage="1" sqref="C5:P9 C11:P15 C17:P21 C23:P27 C29:P33" xr:uid="{B13A7358-9697-4F25-8D86-8A12E540FE6C}">
      <formula1>성명</formula1>
    </dataValidation>
  </dataValidations>
  <pageMargins left="0.70866141732283472" right="0.70866141732283472" top="0.74803149606299213" bottom="0.74803149606299213" header="0.31496062992125984" footer="0.31496062992125984"/>
  <pageSetup paperSize="9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Spinner 1">
              <controlPr defaultSize="0" autoPict="0">
                <anchor moveWithCells="1" sizeWithCells="1">
                  <from>
                    <xdr:col>14</xdr:col>
                    <xdr:colOff>899160</xdr:colOff>
                    <xdr:row>0</xdr:row>
                    <xdr:rowOff>121920</xdr:rowOff>
                  </from>
                  <to>
                    <xdr:col>15</xdr:col>
                    <xdr:colOff>7620</xdr:colOff>
                    <xdr:row>1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A2158-6C42-4F25-AC0B-CE028826DFBD}">
  <sheetPr codeName="Sheet43"/>
  <dimension ref="A1:J68"/>
  <sheetViews>
    <sheetView tabSelected="1" topLeftCell="A11" zoomScale="75" zoomScaleNormal="75" workbookViewId="0">
      <selection activeCell="C26" sqref="C26"/>
    </sheetView>
  </sheetViews>
  <sheetFormatPr defaultColWidth="8.77734375" defaultRowHeight="19.95" customHeight="1" x14ac:dyDescent="0.25"/>
  <cols>
    <col min="1" max="8" width="23.77734375" customWidth="1"/>
    <col min="9" max="9" width="16.6640625" customWidth="1"/>
  </cols>
  <sheetData>
    <row r="1" spans="1:9" ht="12.6" customHeight="1" x14ac:dyDescent="0.25"/>
    <row r="2" spans="1:9" s="8" customFormat="1" ht="25.2" customHeight="1" x14ac:dyDescent="0.25">
      <c r="B2" s="8" t="s">
        <v>22</v>
      </c>
      <c r="G2" s="26">
        <v>2025</v>
      </c>
      <c r="H2" s="27">
        <v>3</v>
      </c>
    </row>
    <row r="3" spans="1:9" s="7" customFormat="1" ht="16.95" customHeight="1" x14ac:dyDescent="0.25">
      <c r="A3" s="10"/>
      <c r="B3" s="1" t="s">
        <v>5</v>
      </c>
      <c r="C3" s="1" t="s">
        <v>15</v>
      </c>
      <c r="D3" s="1" t="s">
        <v>8</v>
      </c>
      <c r="E3" s="11" t="s">
        <v>1</v>
      </c>
      <c r="F3" s="11" t="s">
        <v>17</v>
      </c>
      <c r="G3" s="11" t="s">
        <v>16</v>
      </c>
      <c r="H3" s="11" t="s">
        <v>9</v>
      </c>
    </row>
    <row r="4" spans="1:9" s="7" customFormat="1" ht="16.95" customHeight="1" x14ac:dyDescent="0.25">
      <c r="A4" s="1" t="s">
        <v>3</v>
      </c>
      <c r="B4" s="12">
        <f>DATE(G$2,H$2,1)-WEEKDAY(DATE($G$2,$H$2,1),1)+1</f>
        <v>45711</v>
      </c>
      <c r="C4" s="12">
        <f t="shared" ref="C4:H4" si="0">B4+1</f>
        <v>45712</v>
      </c>
      <c r="D4" s="12">
        <f t="shared" si="0"/>
        <v>45713</v>
      </c>
      <c r="E4" s="12">
        <f t="shared" si="0"/>
        <v>45714</v>
      </c>
      <c r="F4" s="12">
        <f t="shared" si="0"/>
        <v>45715</v>
      </c>
      <c r="G4" s="12">
        <f t="shared" si="0"/>
        <v>45716</v>
      </c>
      <c r="H4" s="12">
        <f t="shared" si="0"/>
        <v>45717</v>
      </c>
    </row>
    <row r="5" spans="1:9" s="7" customFormat="1" ht="16.95" customHeight="1" x14ac:dyDescent="0.25">
      <c r="A5" s="1" t="s">
        <v>29</v>
      </c>
      <c r="B5" s="1"/>
      <c r="C5" s="1"/>
      <c r="D5" s="1"/>
      <c r="E5" s="1"/>
      <c r="F5" s="1"/>
      <c r="G5" s="1"/>
      <c r="H5" s="1" t="s">
        <v>138</v>
      </c>
    </row>
    <row r="6" spans="1:9" s="4" customFormat="1" ht="16.95" customHeight="1" x14ac:dyDescent="0.25">
      <c r="A6" s="1"/>
      <c r="B6" s="1"/>
      <c r="C6" s="1"/>
      <c r="D6" s="1"/>
      <c r="E6" s="1"/>
      <c r="F6" s="1"/>
      <c r="G6" s="1"/>
      <c r="H6" s="1" t="s">
        <v>139</v>
      </c>
      <c r="I6" s="7"/>
    </row>
    <row r="7" spans="1:9" s="7" customFormat="1" ht="16.95" customHeight="1" x14ac:dyDescent="0.25">
      <c r="A7" s="1" t="s">
        <v>27</v>
      </c>
      <c r="B7" s="1"/>
      <c r="C7" s="1"/>
      <c r="D7" s="1"/>
      <c r="E7" s="1"/>
      <c r="F7" s="1"/>
      <c r="G7" s="1"/>
      <c r="H7" s="1" t="s">
        <v>139</v>
      </c>
    </row>
    <row r="8" spans="1:9" s="4" customFormat="1" ht="16.95" customHeight="1" x14ac:dyDescent="0.25">
      <c r="A8" s="1"/>
      <c r="B8" s="1"/>
      <c r="C8" s="1"/>
      <c r="D8" s="1"/>
      <c r="E8" s="1"/>
      <c r="F8" s="1"/>
      <c r="G8" s="1"/>
      <c r="H8" s="1" t="s">
        <v>18</v>
      </c>
      <c r="I8" s="7"/>
    </row>
    <row r="9" spans="1:9" s="7" customFormat="1" ht="16.95" customHeight="1" x14ac:dyDescent="0.25">
      <c r="A9" s="1" t="s">
        <v>25</v>
      </c>
      <c r="B9" s="1"/>
      <c r="C9" s="1"/>
      <c r="D9" s="1"/>
      <c r="E9" s="1"/>
      <c r="F9" s="1"/>
      <c r="G9" s="1"/>
      <c r="H9" s="1" t="s">
        <v>14</v>
      </c>
    </row>
    <row r="10" spans="1:9" s="7" customFormat="1" ht="16.95" customHeight="1" x14ac:dyDescent="0.25">
      <c r="A10" s="1" t="s">
        <v>3</v>
      </c>
      <c r="B10" s="12">
        <f>B4+7</f>
        <v>45718</v>
      </c>
      <c r="C10" s="12">
        <f t="shared" ref="C10:H10" si="1">B10+1</f>
        <v>45719</v>
      </c>
      <c r="D10" s="12">
        <f t="shared" si="1"/>
        <v>45720</v>
      </c>
      <c r="E10" s="12">
        <f t="shared" si="1"/>
        <v>45721</v>
      </c>
      <c r="F10" s="12">
        <f t="shared" si="1"/>
        <v>45722</v>
      </c>
      <c r="G10" s="12">
        <f t="shared" si="1"/>
        <v>45723</v>
      </c>
      <c r="H10" s="12">
        <f t="shared" si="1"/>
        <v>45724</v>
      </c>
    </row>
    <row r="11" spans="1:9" s="7" customFormat="1" ht="16.95" customHeight="1" x14ac:dyDescent="0.25">
      <c r="A11" s="1" t="s">
        <v>29</v>
      </c>
      <c r="B11" s="1" t="s">
        <v>7</v>
      </c>
      <c r="C11" s="1" t="s">
        <v>7</v>
      </c>
      <c r="D11" s="1" t="s">
        <v>7</v>
      </c>
      <c r="E11" s="1" t="s">
        <v>129</v>
      </c>
      <c r="F11" s="1" t="s">
        <v>129</v>
      </c>
      <c r="G11" s="1" t="s">
        <v>129</v>
      </c>
      <c r="H11" s="1" t="s">
        <v>138</v>
      </c>
    </row>
    <row r="12" spans="1:9" s="4" customFormat="1" ht="16.95" customHeight="1" x14ac:dyDescent="0.25">
      <c r="A12" s="1"/>
      <c r="B12" s="1" t="s">
        <v>139</v>
      </c>
      <c r="C12" s="1" t="s">
        <v>6</v>
      </c>
      <c r="D12" s="1" t="s">
        <v>6</v>
      </c>
      <c r="E12" s="1" t="s">
        <v>6</v>
      </c>
      <c r="F12" s="1" t="s">
        <v>6</v>
      </c>
      <c r="G12" s="1" t="s">
        <v>139</v>
      </c>
      <c r="H12" s="1" t="s">
        <v>139</v>
      </c>
      <c r="I12" s="7"/>
    </row>
    <row r="13" spans="1:9" s="7" customFormat="1" ht="16.95" customHeight="1" x14ac:dyDescent="0.25">
      <c r="A13" s="1" t="s">
        <v>27</v>
      </c>
      <c r="B13" s="1" t="s">
        <v>134</v>
      </c>
      <c r="C13" s="1" t="s">
        <v>134</v>
      </c>
      <c r="D13" s="1" t="s">
        <v>140</v>
      </c>
      <c r="E13" s="1" t="s">
        <v>140</v>
      </c>
      <c r="F13" s="1" t="s">
        <v>19</v>
      </c>
      <c r="G13" s="1" t="s">
        <v>19</v>
      </c>
      <c r="H13" s="1" t="s">
        <v>139</v>
      </c>
    </row>
    <row r="14" spans="1:9" s="4" customFormat="1" ht="16.95" customHeight="1" x14ac:dyDescent="0.25">
      <c r="A14" s="1"/>
      <c r="B14" s="1" t="s">
        <v>18</v>
      </c>
      <c r="C14" s="1" t="s">
        <v>18</v>
      </c>
      <c r="D14" s="1" t="s">
        <v>139</v>
      </c>
      <c r="E14" s="1" t="s">
        <v>139</v>
      </c>
      <c r="F14" s="1" t="s">
        <v>139</v>
      </c>
      <c r="G14" s="1" t="s">
        <v>18</v>
      </c>
      <c r="H14" s="1" t="s">
        <v>18</v>
      </c>
      <c r="I14" s="7"/>
    </row>
    <row r="15" spans="1:9" s="7" customFormat="1" ht="16.95" customHeight="1" x14ac:dyDescent="0.25">
      <c r="A15" s="1" t="s">
        <v>25</v>
      </c>
      <c r="B15" s="1" t="s">
        <v>14</v>
      </c>
      <c r="C15" s="1" t="s">
        <v>20</v>
      </c>
      <c r="D15" s="1" t="s">
        <v>20</v>
      </c>
      <c r="E15" s="1" t="s">
        <v>14</v>
      </c>
      <c r="F15" s="1" t="s">
        <v>14</v>
      </c>
      <c r="G15" s="1" t="s">
        <v>20</v>
      </c>
      <c r="H15" s="1" t="s">
        <v>19</v>
      </c>
    </row>
    <row r="16" spans="1:9" s="7" customFormat="1" ht="16.95" customHeight="1" x14ac:dyDescent="0.25">
      <c r="A16" s="1" t="s">
        <v>3</v>
      </c>
      <c r="B16" s="12">
        <f>B10+7</f>
        <v>45725</v>
      </c>
      <c r="C16" s="12">
        <f t="shared" ref="C16:H16" si="2">B16+1</f>
        <v>45726</v>
      </c>
      <c r="D16" s="12">
        <f t="shared" si="2"/>
        <v>45727</v>
      </c>
      <c r="E16" s="12">
        <f t="shared" si="2"/>
        <v>45728</v>
      </c>
      <c r="F16" s="12">
        <f t="shared" si="2"/>
        <v>45729</v>
      </c>
      <c r="G16" s="12">
        <f t="shared" si="2"/>
        <v>45730</v>
      </c>
      <c r="H16" s="12">
        <f t="shared" si="2"/>
        <v>45731</v>
      </c>
    </row>
    <row r="17" spans="1:9" s="7" customFormat="1" ht="16.95" customHeight="1" x14ac:dyDescent="0.25">
      <c r="A17" s="1" t="s">
        <v>29</v>
      </c>
      <c r="B17" s="1" t="s">
        <v>7</v>
      </c>
      <c r="C17" s="1" t="s">
        <v>7</v>
      </c>
      <c r="D17" s="1" t="s">
        <v>7</v>
      </c>
      <c r="E17" s="1"/>
      <c r="F17" s="1"/>
      <c r="G17" s="1"/>
      <c r="H17" s="1" t="s">
        <v>7</v>
      </c>
    </row>
    <row r="18" spans="1:9" s="4" customFormat="1" ht="16.95" customHeight="1" x14ac:dyDescent="0.25">
      <c r="A18" s="1"/>
      <c r="B18" s="1" t="s">
        <v>139</v>
      </c>
      <c r="C18" s="1" t="s">
        <v>6</v>
      </c>
      <c r="D18" s="1" t="s">
        <v>6</v>
      </c>
      <c r="E18" s="1" t="s">
        <v>6</v>
      </c>
      <c r="F18" s="1" t="s">
        <v>6</v>
      </c>
      <c r="G18" s="1" t="s">
        <v>6</v>
      </c>
      <c r="H18" s="1" t="s">
        <v>139</v>
      </c>
      <c r="I18" s="7"/>
    </row>
    <row r="19" spans="1:9" s="7" customFormat="1" ht="16.95" customHeight="1" x14ac:dyDescent="0.25">
      <c r="A19" s="1" t="s">
        <v>27</v>
      </c>
      <c r="B19" s="1" t="s">
        <v>134</v>
      </c>
      <c r="C19" s="1" t="s">
        <v>134</v>
      </c>
      <c r="D19" s="1" t="s">
        <v>140</v>
      </c>
      <c r="E19" s="1" t="s">
        <v>140</v>
      </c>
      <c r="F19" s="1" t="s">
        <v>19</v>
      </c>
      <c r="G19" s="1" t="s">
        <v>19</v>
      </c>
      <c r="H19" s="1" t="s">
        <v>139</v>
      </c>
    </row>
    <row r="20" spans="1:9" s="4" customFormat="1" ht="16.95" customHeight="1" x14ac:dyDescent="0.25">
      <c r="A20" s="1"/>
      <c r="B20" s="1"/>
      <c r="C20" s="1" t="s">
        <v>139</v>
      </c>
      <c r="D20" s="1" t="s">
        <v>139</v>
      </c>
      <c r="E20" s="1" t="s">
        <v>129</v>
      </c>
      <c r="F20" s="1" t="s">
        <v>129</v>
      </c>
      <c r="G20" s="1" t="s">
        <v>129</v>
      </c>
      <c r="H20" s="1" t="s">
        <v>129</v>
      </c>
      <c r="I20" s="7"/>
    </row>
    <row r="21" spans="1:9" s="7" customFormat="1" ht="16.95" customHeight="1" x14ac:dyDescent="0.25">
      <c r="A21" s="1" t="s">
        <v>25</v>
      </c>
      <c r="B21" s="1" t="s">
        <v>20</v>
      </c>
      <c r="C21" s="1" t="s">
        <v>14</v>
      </c>
      <c r="D21" s="1" t="s">
        <v>14</v>
      </c>
      <c r="E21" s="1" t="s">
        <v>20</v>
      </c>
      <c r="F21" s="1" t="s">
        <v>134</v>
      </c>
      <c r="G21" s="1" t="s">
        <v>20</v>
      </c>
      <c r="H21" s="1" t="s">
        <v>19</v>
      </c>
    </row>
    <row r="22" spans="1:9" s="7" customFormat="1" ht="16.95" customHeight="1" x14ac:dyDescent="0.25">
      <c r="A22" s="1" t="s">
        <v>3</v>
      </c>
      <c r="B22" s="12">
        <f>B16+7</f>
        <v>45732</v>
      </c>
      <c r="C22" s="12">
        <f t="shared" ref="C22:H22" si="3">B22+1</f>
        <v>45733</v>
      </c>
      <c r="D22" s="12">
        <f t="shared" si="3"/>
        <v>45734</v>
      </c>
      <c r="E22" s="12">
        <f t="shared" si="3"/>
        <v>45735</v>
      </c>
      <c r="F22" s="12">
        <f t="shared" si="3"/>
        <v>45736</v>
      </c>
      <c r="G22" s="12">
        <f t="shared" si="3"/>
        <v>45737</v>
      </c>
      <c r="H22" s="12">
        <f t="shared" si="3"/>
        <v>45738</v>
      </c>
    </row>
    <row r="23" spans="1:9" s="7" customFormat="1" ht="16.95" customHeight="1" x14ac:dyDescent="0.25">
      <c r="A23" s="1" t="s">
        <v>29</v>
      </c>
      <c r="B23" s="1" t="s">
        <v>7</v>
      </c>
      <c r="C23" s="1" t="s">
        <v>7</v>
      </c>
      <c r="D23" s="1" t="s">
        <v>7</v>
      </c>
      <c r="E23" s="1"/>
      <c r="F23" s="1"/>
      <c r="G23" s="1"/>
      <c r="H23" s="1" t="s">
        <v>7</v>
      </c>
    </row>
    <row r="24" spans="1:9" s="4" customFormat="1" ht="16.95" customHeight="1" x14ac:dyDescent="0.25">
      <c r="A24" s="1"/>
      <c r="B24" s="1" t="s">
        <v>139</v>
      </c>
      <c r="C24" s="1" t="s">
        <v>6</v>
      </c>
      <c r="D24" s="1" t="s">
        <v>6</v>
      </c>
      <c r="E24" s="1" t="s">
        <v>6</v>
      </c>
      <c r="F24" s="1" t="s">
        <v>6</v>
      </c>
      <c r="G24" s="1" t="s">
        <v>6</v>
      </c>
      <c r="H24" s="1" t="s">
        <v>139</v>
      </c>
      <c r="I24" s="7"/>
    </row>
    <row r="25" spans="1:9" s="7" customFormat="1" ht="16.95" customHeight="1" x14ac:dyDescent="0.25">
      <c r="A25" s="1" t="s">
        <v>27</v>
      </c>
      <c r="B25" s="1" t="s">
        <v>139</v>
      </c>
      <c r="C25" s="1" t="s">
        <v>140</v>
      </c>
      <c r="D25" s="1" t="s">
        <v>134</v>
      </c>
      <c r="E25" s="1" t="s">
        <v>134</v>
      </c>
      <c r="F25" s="1" t="s">
        <v>19</v>
      </c>
      <c r="G25" s="1" t="s">
        <v>19</v>
      </c>
      <c r="H25" s="1" t="s">
        <v>139</v>
      </c>
    </row>
    <row r="26" spans="1:9" s="4" customFormat="1" ht="16.95" customHeight="1" x14ac:dyDescent="0.25">
      <c r="A26" s="1"/>
      <c r="B26" s="1" t="s">
        <v>129</v>
      </c>
      <c r="C26" s="1"/>
      <c r="D26" s="1" t="s">
        <v>136</v>
      </c>
      <c r="E26" s="1" t="s">
        <v>139</v>
      </c>
      <c r="F26" s="1" t="s">
        <v>129</v>
      </c>
      <c r="G26" s="1" t="s">
        <v>129</v>
      </c>
      <c r="H26" s="1" t="s">
        <v>129</v>
      </c>
      <c r="I26" s="7"/>
    </row>
    <row r="27" spans="1:9" s="7" customFormat="1" ht="16.95" customHeight="1" x14ac:dyDescent="0.25">
      <c r="A27" s="1" t="s">
        <v>25</v>
      </c>
      <c r="B27" s="1" t="s">
        <v>141</v>
      </c>
      <c r="C27" s="1" t="s">
        <v>14</v>
      </c>
      <c r="D27" s="1" t="s">
        <v>142</v>
      </c>
      <c r="E27" s="1" t="s">
        <v>20</v>
      </c>
      <c r="F27" s="1" t="s">
        <v>14</v>
      </c>
      <c r="G27" s="1" t="s">
        <v>14</v>
      </c>
      <c r="H27" s="1" t="s">
        <v>19</v>
      </c>
    </row>
    <row r="28" spans="1:9" s="7" customFormat="1" ht="16.95" customHeight="1" x14ac:dyDescent="0.25">
      <c r="A28" s="1" t="s">
        <v>3</v>
      </c>
      <c r="B28" s="12">
        <f>B22+7</f>
        <v>45739</v>
      </c>
      <c r="C28" s="12">
        <f t="shared" ref="C28:H28" si="4">B28+1</f>
        <v>45740</v>
      </c>
      <c r="D28" s="12">
        <f t="shared" si="4"/>
        <v>45741</v>
      </c>
      <c r="E28" s="12">
        <f t="shared" si="4"/>
        <v>45742</v>
      </c>
      <c r="F28" s="12">
        <f t="shared" si="4"/>
        <v>45743</v>
      </c>
      <c r="G28" s="12">
        <f t="shared" si="4"/>
        <v>45744</v>
      </c>
      <c r="H28" s="12">
        <f t="shared" si="4"/>
        <v>45745</v>
      </c>
    </row>
    <row r="29" spans="1:9" s="7" customFormat="1" ht="16.95" customHeight="1" x14ac:dyDescent="0.25">
      <c r="A29" s="1" t="s">
        <v>29</v>
      </c>
      <c r="B29" s="1" t="s">
        <v>7</v>
      </c>
      <c r="C29" s="1" t="s">
        <v>7</v>
      </c>
      <c r="D29" s="1" t="s">
        <v>7</v>
      </c>
      <c r="E29" s="1" t="s">
        <v>7</v>
      </c>
      <c r="F29" s="1"/>
      <c r="G29" s="1"/>
      <c r="H29" s="1" t="s">
        <v>7</v>
      </c>
    </row>
    <row r="30" spans="1:9" s="4" customFormat="1" ht="16.95" customHeight="1" x14ac:dyDescent="0.25">
      <c r="A30" s="1"/>
      <c r="B30" s="1" t="s">
        <v>139</v>
      </c>
      <c r="C30" s="1" t="s">
        <v>6</v>
      </c>
      <c r="D30" s="1" t="s">
        <v>6</v>
      </c>
      <c r="E30" s="1" t="s">
        <v>6</v>
      </c>
      <c r="F30" s="1" t="s">
        <v>6</v>
      </c>
      <c r="G30" s="1" t="s">
        <v>6</v>
      </c>
      <c r="H30" s="1" t="s">
        <v>139</v>
      </c>
      <c r="I30" s="7"/>
    </row>
    <row r="31" spans="1:9" s="7" customFormat="1" ht="16.95" customHeight="1" x14ac:dyDescent="0.25">
      <c r="A31" s="1" t="s">
        <v>27</v>
      </c>
      <c r="B31" s="1" t="s">
        <v>134</v>
      </c>
      <c r="C31" s="1" t="s">
        <v>134</v>
      </c>
      <c r="D31" s="1" t="s">
        <v>140</v>
      </c>
      <c r="E31" s="1" t="s">
        <v>140</v>
      </c>
      <c r="F31" s="1" t="s">
        <v>19</v>
      </c>
      <c r="G31" s="1" t="s">
        <v>19</v>
      </c>
      <c r="H31" s="1" t="s">
        <v>139</v>
      </c>
    </row>
    <row r="32" spans="1:9" s="4" customFormat="1" ht="16.95" customHeight="1" x14ac:dyDescent="0.25">
      <c r="A32" s="1"/>
      <c r="B32" s="1" t="s">
        <v>129</v>
      </c>
      <c r="C32" s="1" t="s">
        <v>129</v>
      </c>
      <c r="D32" s="1" t="s">
        <v>139</v>
      </c>
      <c r="E32" s="1" t="s">
        <v>139</v>
      </c>
      <c r="F32" s="1" t="s">
        <v>129</v>
      </c>
      <c r="G32" s="1" t="s">
        <v>129</v>
      </c>
      <c r="H32" s="1" t="s">
        <v>129</v>
      </c>
      <c r="I32" s="7"/>
    </row>
    <row r="33" spans="1:9" s="7" customFormat="1" ht="16.95" customHeight="1" x14ac:dyDescent="0.25">
      <c r="A33" s="1" t="s">
        <v>25</v>
      </c>
      <c r="B33" s="1" t="s">
        <v>20</v>
      </c>
      <c r="C33" s="1" t="s">
        <v>20</v>
      </c>
      <c r="D33" s="1" t="s">
        <v>14</v>
      </c>
      <c r="E33" s="1" t="s">
        <v>14</v>
      </c>
      <c r="F33" s="1" t="s">
        <v>134</v>
      </c>
      <c r="G33" s="1" t="s">
        <v>20</v>
      </c>
      <c r="H33" s="1" t="s">
        <v>20</v>
      </c>
    </row>
    <row r="34" spans="1:9" s="7" customFormat="1" ht="16.95" customHeight="1" x14ac:dyDescent="0.25">
      <c r="A34" s="1" t="s">
        <v>3</v>
      </c>
      <c r="B34" s="12">
        <f>B28+7</f>
        <v>45746</v>
      </c>
      <c r="C34" s="12">
        <f t="shared" ref="C34:H34" si="5">B34+1</f>
        <v>45747</v>
      </c>
      <c r="D34" s="12">
        <f t="shared" si="5"/>
        <v>45748</v>
      </c>
      <c r="E34" s="12">
        <f t="shared" si="5"/>
        <v>45749</v>
      </c>
      <c r="F34" s="12">
        <f t="shared" si="5"/>
        <v>45750</v>
      </c>
      <c r="G34" s="12">
        <f t="shared" si="5"/>
        <v>45751</v>
      </c>
      <c r="H34" s="12">
        <f t="shared" si="5"/>
        <v>45752</v>
      </c>
    </row>
    <row r="35" spans="1:9" s="7" customFormat="1" ht="16.95" customHeight="1" x14ac:dyDescent="0.25">
      <c r="A35" s="1" t="s">
        <v>29</v>
      </c>
      <c r="B35" s="1" t="s">
        <v>7</v>
      </c>
      <c r="C35" s="1" t="s">
        <v>7</v>
      </c>
      <c r="D35" s="1"/>
      <c r="E35" s="1"/>
      <c r="F35" s="1"/>
      <c r="G35" s="1"/>
      <c r="H35" s="1"/>
    </row>
    <row r="36" spans="1:9" s="4" customFormat="1" ht="16.95" customHeight="1" x14ac:dyDescent="0.25">
      <c r="A36" s="1"/>
      <c r="B36" s="1" t="s">
        <v>139</v>
      </c>
      <c r="C36" s="1" t="s">
        <v>6</v>
      </c>
      <c r="D36" s="1"/>
      <c r="E36" s="1"/>
      <c r="F36" s="1"/>
      <c r="G36" s="1"/>
      <c r="H36" s="1"/>
      <c r="I36" s="7"/>
    </row>
    <row r="37" spans="1:9" s="7" customFormat="1" ht="16.95" customHeight="1" x14ac:dyDescent="0.25">
      <c r="A37" s="1" t="s">
        <v>27</v>
      </c>
      <c r="B37" s="1" t="s">
        <v>134</v>
      </c>
      <c r="C37" s="1" t="s">
        <v>134</v>
      </c>
      <c r="D37" s="1"/>
      <c r="E37" s="1"/>
      <c r="F37" s="1"/>
      <c r="G37" s="1"/>
      <c r="H37" s="1"/>
    </row>
    <row r="38" spans="1:9" s="4" customFormat="1" ht="16.95" customHeight="1" x14ac:dyDescent="0.25">
      <c r="A38" s="1"/>
      <c r="B38" s="1" t="s">
        <v>129</v>
      </c>
      <c r="C38" s="1" t="s">
        <v>129</v>
      </c>
      <c r="D38" s="1"/>
      <c r="E38" s="1"/>
      <c r="F38" s="1"/>
      <c r="G38" s="1"/>
      <c r="H38" s="1"/>
      <c r="I38" s="7"/>
    </row>
    <row r="39" spans="1:9" s="7" customFormat="1" ht="16.95" customHeight="1" x14ac:dyDescent="0.25">
      <c r="A39" s="1" t="s">
        <v>25</v>
      </c>
      <c r="B39" s="1" t="s">
        <v>14</v>
      </c>
      <c r="C39" s="1" t="s">
        <v>20</v>
      </c>
      <c r="D39" s="1"/>
      <c r="E39" s="1"/>
      <c r="F39" s="1"/>
      <c r="G39" s="1"/>
      <c r="H39" s="1"/>
    </row>
    <row r="40" spans="1:9" s="7" customFormat="1" ht="16.95" customHeight="1" x14ac:dyDescent="0.25">
      <c r="A40" s="90"/>
      <c r="B40" s="90"/>
      <c r="C40" s="90"/>
      <c r="D40" s="90"/>
      <c r="E40" s="90"/>
      <c r="F40" s="90"/>
      <c r="G40" s="90"/>
      <c r="H40" s="90"/>
    </row>
    <row r="41" spans="1:9" s="7" customFormat="1" ht="16.95" customHeight="1" x14ac:dyDescent="0.25">
      <c r="A41" s="90"/>
      <c r="B41" s="90"/>
      <c r="C41" s="90"/>
      <c r="D41" s="90"/>
      <c r="E41" s="90"/>
      <c r="F41" s="90"/>
      <c r="G41" s="90"/>
      <c r="H41" s="90"/>
    </row>
    <row r="42" spans="1:9" s="7" customFormat="1" ht="16.95" customHeight="1" x14ac:dyDescent="0.25">
      <c r="A42" s="90"/>
      <c r="B42" s="90"/>
      <c r="C42" s="90"/>
      <c r="D42" s="90"/>
      <c r="E42" s="90"/>
      <c r="F42" s="90"/>
      <c r="G42" s="90"/>
      <c r="H42" s="90"/>
    </row>
    <row r="45" spans="1:9" ht="19.95" customHeight="1" thickBot="1" x14ac:dyDescent="0.3"/>
    <row r="46" spans="1:9" ht="13.2" customHeight="1" thickTop="1" thickBot="1" x14ac:dyDescent="0.3">
      <c r="A46" s="242" t="s">
        <v>13</v>
      </c>
      <c r="B46" s="242"/>
      <c r="C46" s="2" t="s">
        <v>2</v>
      </c>
      <c r="D46" s="25">
        <f>H2</f>
        <v>3</v>
      </c>
      <c r="F46" s="32" t="s">
        <v>40</v>
      </c>
      <c r="G46" s="33" t="s">
        <v>41</v>
      </c>
    </row>
    <row r="47" spans="1:9" ht="18" thickTop="1" x14ac:dyDescent="0.25">
      <c r="A47" s="242">
        <v>1</v>
      </c>
      <c r="B47" s="242"/>
      <c r="C47" s="1" t="s">
        <v>134</v>
      </c>
      <c r="D47" s="2">
        <f>COUNTIF($A$1:$H$39,"*" &amp;$C47&amp; "*")</f>
        <v>19</v>
      </c>
      <c r="F47" s="31"/>
      <c r="G47" s="19" t="s">
        <v>42</v>
      </c>
    </row>
    <row r="48" spans="1:9" ht="13.2" x14ac:dyDescent="0.25">
      <c r="A48" s="242">
        <v>2</v>
      </c>
      <c r="B48" s="242"/>
      <c r="C48" s="2" t="s">
        <v>14</v>
      </c>
      <c r="D48" s="2">
        <f t="shared" ref="D48:D55" si="6">COUNTIF($A$1:$H$39,"*" &amp;$C48&amp; "*")</f>
        <v>14</v>
      </c>
      <c r="F48" s="28"/>
      <c r="G48" s="34" t="s">
        <v>43</v>
      </c>
    </row>
    <row r="49" spans="1:10" ht="13.2" x14ac:dyDescent="0.25">
      <c r="A49" s="242">
        <v>3</v>
      </c>
      <c r="B49" s="242"/>
      <c r="C49" s="2" t="s">
        <v>20</v>
      </c>
      <c r="D49" s="2">
        <f t="shared" si="6"/>
        <v>14</v>
      </c>
      <c r="F49" s="28"/>
      <c r="G49" s="22" t="s">
        <v>44</v>
      </c>
    </row>
    <row r="50" spans="1:10" ht="13.2" x14ac:dyDescent="0.25">
      <c r="A50" s="242">
        <v>4</v>
      </c>
      <c r="B50" s="242"/>
      <c r="C50" s="2" t="s">
        <v>6</v>
      </c>
      <c r="D50" s="2">
        <f t="shared" si="6"/>
        <v>20</v>
      </c>
      <c r="F50" s="28"/>
    </row>
    <row r="51" spans="1:10" ht="13.2" x14ac:dyDescent="0.25">
      <c r="A51" s="242">
        <v>5</v>
      </c>
      <c r="B51" s="242"/>
      <c r="C51" s="2" t="s">
        <v>18</v>
      </c>
      <c r="D51" s="2">
        <f t="shared" si="6"/>
        <v>5</v>
      </c>
      <c r="F51" s="28"/>
    </row>
    <row r="52" spans="1:10" ht="13.2" x14ac:dyDescent="0.25">
      <c r="A52" s="242">
        <v>6</v>
      </c>
      <c r="B52" s="242"/>
      <c r="C52" s="2" t="s">
        <v>7</v>
      </c>
      <c r="D52" s="2">
        <f t="shared" si="6"/>
        <v>20</v>
      </c>
      <c r="F52" s="29"/>
      <c r="H52" s="19" t="s">
        <v>36</v>
      </c>
      <c r="I52" s="20">
        <f>DATE($G$2,$H$2,1)</f>
        <v>45717</v>
      </c>
    </row>
    <row r="53" spans="1:10" ht="13.2" x14ac:dyDescent="0.25">
      <c r="A53" s="242">
        <v>7</v>
      </c>
      <c r="B53" s="242"/>
      <c r="C53" s="2" t="s">
        <v>19</v>
      </c>
      <c r="D53" s="2">
        <f t="shared" si="6"/>
        <v>19</v>
      </c>
      <c r="F53" s="28"/>
      <c r="H53" s="19" t="s">
        <v>37</v>
      </c>
      <c r="I53" s="20">
        <f>EOMONTH(I52,0)</f>
        <v>45747</v>
      </c>
    </row>
    <row r="54" spans="1:10" ht="18" thickBot="1" x14ac:dyDescent="0.3">
      <c r="A54" s="242">
        <v>8</v>
      </c>
      <c r="B54" s="242"/>
      <c r="C54" s="1" t="s">
        <v>129</v>
      </c>
      <c r="D54" s="2">
        <f t="shared" si="6"/>
        <v>20</v>
      </c>
      <c r="F54" s="30"/>
    </row>
    <row r="55" spans="1:10" ht="13.8" thickTop="1" x14ac:dyDescent="0.25">
      <c r="A55" s="242">
        <v>9</v>
      </c>
      <c r="B55" s="242"/>
      <c r="C55" s="2"/>
      <c r="D55" s="2">
        <f t="shared" si="6"/>
        <v>177</v>
      </c>
      <c r="E55" s="39">
        <v>45545</v>
      </c>
      <c r="F55" s="19" t="s">
        <v>31</v>
      </c>
      <c r="G55" s="19" t="s">
        <v>32</v>
      </c>
      <c r="H55" s="22" t="s">
        <v>33</v>
      </c>
      <c r="I55" s="23" t="s">
        <v>34</v>
      </c>
      <c r="J55" s="22" t="s">
        <v>35</v>
      </c>
    </row>
    <row r="56" spans="1:10" ht="13.2" x14ac:dyDescent="0.25">
      <c r="A56" s="242" t="s">
        <v>12</v>
      </c>
      <c r="B56" s="242"/>
      <c r="C56" s="73" t="s">
        <v>143</v>
      </c>
      <c r="F56" s="24">
        <f>NETWORKDAYS(I52,I53,F47:F54)</f>
        <v>21</v>
      </c>
      <c r="G56" s="21">
        <f>I53-I52+1-NETWORKDAYS(I52,I53,F47:F54)</f>
        <v>10</v>
      </c>
      <c r="H56" s="22">
        <f>F56*8</f>
        <v>168</v>
      </c>
      <c r="I56">
        <f>FLOOR(H56/12,2)</f>
        <v>14</v>
      </c>
      <c r="J56">
        <f>I53-I52+1-I56*2</f>
        <v>3</v>
      </c>
    </row>
    <row r="57" spans="1:10" ht="13.2" x14ac:dyDescent="0.25">
      <c r="A57" s="242"/>
      <c r="B57" s="242"/>
      <c r="C57" s="2" t="s">
        <v>6</v>
      </c>
      <c r="I57" s="19" t="s">
        <v>38</v>
      </c>
    </row>
    <row r="58" spans="1:10" ht="13.2" x14ac:dyDescent="0.25">
      <c r="A58" s="242"/>
      <c r="B58" s="242"/>
      <c r="C58" s="2"/>
      <c r="I58" s="19">
        <f>I56*12</f>
        <v>168</v>
      </c>
    </row>
    <row r="59" spans="1:10" ht="17.399999999999999" x14ac:dyDescent="0.25">
      <c r="A59" s="242" t="s">
        <v>10</v>
      </c>
      <c r="B59" s="242"/>
      <c r="C59" s="1" t="s">
        <v>140</v>
      </c>
      <c r="I59" s="23" t="s">
        <v>39</v>
      </c>
    </row>
    <row r="60" spans="1:10" ht="13.2" x14ac:dyDescent="0.25">
      <c r="A60" s="242"/>
      <c r="B60" s="242"/>
      <c r="C60" s="73" t="s">
        <v>144</v>
      </c>
      <c r="I60">
        <f>H56-I58</f>
        <v>0</v>
      </c>
    </row>
    <row r="61" spans="1:10" ht="15.6" x14ac:dyDescent="0.25">
      <c r="A61" s="242"/>
      <c r="B61" s="242"/>
      <c r="C61" s="237" t="s">
        <v>145</v>
      </c>
    </row>
    <row r="62" spans="1:10" ht="13.2" x14ac:dyDescent="0.25">
      <c r="A62" s="242"/>
      <c r="B62" s="242"/>
      <c r="C62" s="2"/>
    </row>
    <row r="63" spans="1:10" ht="13.2" x14ac:dyDescent="0.25">
      <c r="A63" s="238" t="s">
        <v>11</v>
      </c>
      <c r="B63" s="239"/>
      <c r="C63" s="2"/>
    </row>
    <row r="64" spans="1:10" ht="13.2" x14ac:dyDescent="0.25">
      <c r="A64" s="240"/>
      <c r="B64" s="241"/>
      <c r="C64" s="73" t="s">
        <v>146</v>
      </c>
    </row>
    <row r="65" spans="1:3" ht="13.2" x14ac:dyDescent="0.25">
      <c r="A65" s="242" t="s">
        <v>23</v>
      </c>
      <c r="B65" s="242"/>
      <c r="C65" s="2"/>
    </row>
    <row r="66" spans="1:3" ht="13.2" x14ac:dyDescent="0.25">
      <c r="A66" s="242"/>
      <c r="B66" s="242"/>
      <c r="C66" s="2"/>
    </row>
    <row r="67" spans="1:3" ht="13.2" x14ac:dyDescent="0.25">
      <c r="A67" s="242"/>
      <c r="B67" s="242"/>
      <c r="C67" s="9"/>
    </row>
    <row r="68" spans="1:3" ht="13.2" x14ac:dyDescent="0.25">
      <c r="A68" s="242"/>
      <c r="B68" s="242"/>
      <c r="C68" s="9"/>
    </row>
  </sheetData>
  <mergeCells count="14">
    <mergeCell ref="A63:B64"/>
    <mergeCell ref="A65:B68"/>
    <mergeCell ref="A52:B52"/>
    <mergeCell ref="A53:B53"/>
    <mergeCell ref="A54:B54"/>
    <mergeCell ref="A55:B55"/>
    <mergeCell ref="A56:B58"/>
    <mergeCell ref="A59:B62"/>
    <mergeCell ref="A51:B51"/>
    <mergeCell ref="A46:B46"/>
    <mergeCell ref="A47:B47"/>
    <mergeCell ref="A48:B48"/>
    <mergeCell ref="A49:B49"/>
    <mergeCell ref="A50:B50"/>
  </mergeCells>
  <phoneticPr fontId="6" type="noConversion"/>
  <conditionalFormatting sqref="B28 D28:H28">
    <cfRule type="expression" priority="28">
      <formula>MONTH(B28)&lt;&gt;MONTH(DATE($G$2,$H$2,1))</formula>
    </cfRule>
  </conditionalFormatting>
  <conditionalFormatting sqref="B4:H4">
    <cfRule type="expression" dxfId="10" priority="33">
      <formula>MONTH(B4)&lt;&gt;MONTH(DATE($G$2,$H$2,1))</formula>
    </cfRule>
  </conditionalFormatting>
  <conditionalFormatting sqref="B10:H10">
    <cfRule type="expression" priority="32">
      <formula>MONTH(B10)&lt;&gt;MONTH(daye($G$2,$H$2,1))</formula>
    </cfRule>
  </conditionalFormatting>
  <conditionalFormatting sqref="B16:H16">
    <cfRule type="expression" priority="31">
      <formula>MONTH(B16)&lt;&gt;MONTH(daye($G$2,$H$2,1))</formula>
    </cfRule>
  </conditionalFormatting>
  <conditionalFormatting sqref="B22:H22">
    <cfRule type="expression" priority="30">
      <formula>MONTH(B22)&lt;&gt;MONTH(daye($G$2,$H$2,1))</formula>
    </cfRule>
  </conditionalFormatting>
  <conditionalFormatting sqref="B28:H28">
    <cfRule type="expression" priority="27">
      <formula>MONTH(B28)&lt;&gt;MONTH(daye($G$2,$H$2,1))</formula>
    </cfRule>
  </conditionalFormatting>
  <conditionalFormatting sqref="B34:H34">
    <cfRule type="expression" dxfId="9" priority="1">
      <formula>MONTH(B34)&lt;&gt;MONTH(DATE($G$2,$H$2,1))</formula>
    </cfRule>
    <cfRule type="expression" priority="2">
      <formula>MONTH(B$28)&lt;&gt;MONTH(DATE($G$2,$H$2,1))</formula>
    </cfRule>
    <cfRule type="expression" priority="3">
      <formula>MONTH(B34)&lt;&gt;MONTH(daye($G$2,$H$2,1))</formula>
    </cfRule>
  </conditionalFormatting>
  <conditionalFormatting sqref="C28:H28">
    <cfRule type="expression" dxfId="8" priority="19">
      <formula>MONTH(C28)&lt;&gt;MONTH(DATE($G$2,$H$2,1))</formula>
    </cfRule>
    <cfRule type="expression" priority="22">
      <formula>MONTH(C$28)&lt;&gt;MONTH(DATE($G$2,$H$2,1))</formula>
    </cfRule>
  </conditionalFormatting>
  <conditionalFormatting sqref="D28">
    <cfRule type="expression" priority="21">
      <formula>"moth(d28)&lt;&gt;month(date($G$2,$H$2,1)"</formula>
    </cfRule>
  </conditionalFormatting>
  <conditionalFormatting sqref="D34">
    <cfRule type="expression" priority="9">
      <formula>"moth(d28)&lt;&gt;month(date($G$2,$H$2,1)"</formula>
    </cfRule>
  </conditionalFormatting>
  <conditionalFormatting sqref="D34:H34">
    <cfRule type="expression" priority="16">
      <formula>MONTH(D34)&lt;&gt;MONTH(DATE($G$2,$H$2,1))</formula>
    </cfRule>
  </conditionalFormatting>
  <dataValidations count="1">
    <dataValidation type="list" operator="equal" allowBlank="1" showInputMessage="1" showErrorMessage="1" sqref="B5:H9 B29:H33 B23:H27 B17:H21 B11:H15 B35:H42 C47 C54 C59" xr:uid="{81571273-339E-4A50-BB69-626B5A5FE431}">
      <formula1>이름</formula1>
    </dataValidation>
  </dataValidations>
  <pageMargins left="0.70866141732283472" right="0.70866141732283472" top="0.74803149606299213" bottom="0.74803149606299213" header="0.31496062992125984" footer="0.31496062992125984"/>
  <pageSetup paperSize="9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4" name="Spinner 2">
              <controlPr defaultSize="0" autoPict="0">
                <anchor moveWithCells="1" sizeWithCells="1">
                  <from>
                    <xdr:col>7</xdr:col>
                    <xdr:colOff>899160</xdr:colOff>
                    <xdr:row>0</xdr:row>
                    <xdr:rowOff>121920</xdr:rowOff>
                  </from>
                  <to>
                    <xdr:col>8</xdr:col>
                    <xdr:colOff>7620</xdr:colOff>
                    <xdr:row>1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7"/>
  <dimension ref="A2:H31"/>
  <sheetViews>
    <sheetView topLeftCell="A4" zoomScale="75" zoomScaleNormal="75" zoomScaleSheetLayoutView="75" workbookViewId="0">
      <selection activeCell="F1" sqref="F1:F1048576"/>
    </sheetView>
  </sheetViews>
  <sheetFormatPr defaultColWidth="8.77734375" defaultRowHeight="19.95" customHeight="1" x14ac:dyDescent="0.25"/>
  <cols>
    <col min="1" max="1" width="23.77734375" customWidth="1"/>
    <col min="2" max="2" width="26" customWidth="1"/>
    <col min="3" max="3" width="23.44140625" customWidth="1"/>
    <col min="4" max="5" width="21.44140625" customWidth="1"/>
    <col min="6" max="6" width="24.77734375" customWidth="1"/>
    <col min="7" max="8" width="21.44140625" customWidth="1"/>
  </cols>
  <sheetData>
    <row r="2" spans="1:8" ht="30" customHeight="1" x14ac:dyDescent="0.25">
      <c r="B2" s="266" t="s">
        <v>59</v>
      </c>
      <c r="C2" s="266"/>
      <c r="F2" s="215">
        <v>2025</v>
      </c>
      <c r="G2" s="216">
        <v>3</v>
      </c>
      <c r="H2" s="218" t="s">
        <v>117</v>
      </c>
    </row>
    <row r="4" spans="1:8" ht="19.95" customHeight="1" thickBot="1" x14ac:dyDescent="0.3">
      <c r="B4" s="218" t="s">
        <v>118</v>
      </c>
    </row>
    <row r="5" spans="1:8" ht="19.95" customHeight="1" thickTop="1" x14ac:dyDescent="0.25">
      <c r="B5" s="234" t="s">
        <v>40</v>
      </c>
      <c r="C5" s="66" t="s">
        <v>41</v>
      </c>
      <c r="D5" s="66"/>
      <c r="E5" s="66" t="s">
        <v>36</v>
      </c>
      <c r="F5" s="67">
        <f>DATE($F$2,$G$2,1)</f>
        <v>45717</v>
      </c>
      <c r="G5" s="68"/>
    </row>
    <row r="6" spans="1:8" ht="19.95" customHeight="1" x14ac:dyDescent="0.25">
      <c r="B6" s="235">
        <v>45651</v>
      </c>
      <c r="C6" s="43" t="s">
        <v>52</v>
      </c>
      <c r="D6" s="43"/>
      <c r="E6" s="43" t="s">
        <v>37</v>
      </c>
      <c r="F6" s="44">
        <f>EOMONTH(F5,0)</f>
        <v>45747</v>
      </c>
      <c r="G6" s="69"/>
    </row>
    <row r="7" spans="1:8" ht="19.95" customHeight="1" x14ac:dyDescent="0.25">
      <c r="A7" s="3"/>
      <c r="B7" s="235">
        <v>45658</v>
      </c>
      <c r="C7" s="45" t="s">
        <v>43</v>
      </c>
      <c r="D7" s="45"/>
      <c r="E7" s="43"/>
      <c r="F7" s="43"/>
      <c r="G7" s="69"/>
    </row>
    <row r="8" spans="1:8" ht="19.95" customHeight="1" x14ac:dyDescent="0.25">
      <c r="A8" s="3"/>
      <c r="B8" s="235">
        <v>45685</v>
      </c>
      <c r="C8" s="43" t="s">
        <v>44</v>
      </c>
      <c r="D8" s="43"/>
      <c r="E8" s="43" t="s">
        <v>33</v>
      </c>
      <c r="F8" s="43" t="s">
        <v>53</v>
      </c>
      <c r="G8" s="69" t="s">
        <v>35</v>
      </c>
    </row>
    <row r="9" spans="1:8" ht="19.95" customHeight="1" x14ac:dyDescent="0.25">
      <c r="A9" s="3"/>
      <c r="B9" s="235">
        <v>45686</v>
      </c>
      <c r="C9" s="9"/>
      <c r="D9" s="43"/>
      <c r="E9" s="43">
        <f>D13*8</f>
        <v>160</v>
      </c>
      <c r="F9" s="43">
        <f>INT(E9/12)</f>
        <v>13</v>
      </c>
      <c r="G9" s="69">
        <f>F6-F5+1-F9*2</f>
        <v>5</v>
      </c>
    </row>
    <row r="10" spans="1:8" ht="19.95" customHeight="1" x14ac:dyDescent="0.25">
      <c r="A10" s="3"/>
      <c r="B10" s="235">
        <v>45687</v>
      </c>
      <c r="C10" s="9"/>
      <c r="D10" s="43"/>
      <c r="E10" s="43"/>
      <c r="F10" s="43" t="s">
        <v>54</v>
      </c>
      <c r="G10" s="69"/>
    </row>
    <row r="11" spans="1:8" ht="19.95" customHeight="1" x14ac:dyDescent="0.25">
      <c r="A11" s="3"/>
      <c r="B11" s="235">
        <v>45719</v>
      </c>
      <c r="C11" s="9"/>
      <c r="D11" s="43"/>
      <c r="E11" s="43"/>
      <c r="F11" s="43">
        <f>F9*12</f>
        <v>156</v>
      </c>
      <c r="G11" s="69"/>
    </row>
    <row r="12" spans="1:8" ht="19.95" customHeight="1" x14ac:dyDescent="0.25">
      <c r="A12" s="3"/>
      <c r="B12" s="235">
        <v>45782</v>
      </c>
      <c r="C12" s="9"/>
      <c r="D12" s="43" t="s">
        <v>31</v>
      </c>
      <c r="E12" s="43" t="s">
        <v>32</v>
      </c>
      <c r="F12" s="43" t="s">
        <v>55</v>
      </c>
      <c r="G12" s="69"/>
    </row>
    <row r="13" spans="1:8" ht="19.95" customHeight="1" x14ac:dyDescent="0.25">
      <c r="A13" s="3"/>
      <c r="B13" s="235">
        <v>45783</v>
      </c>
      <c r="C13" s="9"/>
      <c r="D13" s="64">
        <f>NETWORKDAYS(F5,F6,B6:B13)</f>
        <v>20</v>
      </c>
      <c r="E13" s="65">
        <f>F6-F5+1-NETWORKDAYS(F5,F6,B6:B26)</f>
        <v>11</v>
      </c>
      <c r="F13" s="43">
        <f>E9-F11</f>
        <v>4</v>
      </c>
      <c r="G13" s="69"/>
    </row>
    <row r="14" spans="1:8" ht="19.95" customHeight="1" x14ac:dyDescent="0.25">
      <c r="A14" s="3"/>
      <c r="B14" s="235">
        <v>45814</v>
      </c>
      <c r="C14" s="9"/>
      <c r="D14" s="9"/>
      <c r="E14" s="9"/>
      <c r="F14" s="9"/>
      <c r="G14" s="70"/>
    </row>
    <row r="15" spans="1:8" ht="19.95" customHeight="1" x14ac:dyDescent="0.25">
      <c r="A15" s="3"/>
      <c r="B15" s="235">
        <v>45884</v>
      </c>
      <c r="C15" s="9"/>
      <c r="D15" s="9"/>
      <c r="E15" s="9"/>
      <c r="F15" s="9"/>
      <c r="G15" s="70"/>
    </row>
    <row r="16" spans="1:8" ht="19.95" customHeight="1" x14ac:dyDescent="0.25">
      <c r="A16" s="3"/>
      <c r="B16" s="235">
        <v>45936</v>
      </c>
      <c r="C16" s="9"/>
      <c r="D16" s="9"/>
      <c r="E16" s="9"/>
      <c r="F16" s="9"/>
      <c r="G16" s="70"/>
    </row>
    <row r="17" spans="1:7" ht="19.95" customHeight="1" x14ac:dyDescent="0.25">
      <c r="A17" s="265"/>
      <c r="B17" s="235">
        <v>45937</v>
      </c>
      <c r="C17" s="9"/>
      <c r="D17" s="9"/>
      <c r="E17" s="9"/>
      <c r="F17" s="9"/>
      <c r="G17" s="70"/>
    </row>
    <row r="18" spans="1:7" ht="19.95" customHeight="1" x14ac:dyDescent="0.25">
      <c r="A18" s="265"/>
      <c r="B18" s="235">
        <v>45938</v>
      </c>
      <c r="C18" s="9"/>
      <c r="D18" s="9"/>
      <c r="E18" s="9"/>
      <c r="F18" s="9"/>
      <c r="G18" s="70"/>
    </row>
    <row r="19" spans="1:7" ht="19.95" customHeight="1" x14ac:dyDescent="0.25">
      <c r="A19" s="265"/>
      <c r="B19" s="235">
        <v>45939</v>
      </c>
      <c r="C19" s="9"/>
      <c r="D19" s="9"/>
      <c r="E19" s="9"/>
      <c r="F19" s="9"/>
      <c r="G19" s="70"/>
    </row>
    <row r="20" spans="1:7" ht="19.95" customHeight="1" x14ac:dyDescent="0.25">
      <c r="A20" s="265"/>
      <c r="B20" s="235">
        <v>46016</v>
      </c>
      <c r="C20" s="9"/>
      <c r="D20" s="9"/>
      <c r="E20" s="9"/>
      <c r="F20" s="9"/>
      <c r="G20" s="70"/>
    </row>
    <row r="21" spans="1:7" ht="19.95" customHeight="1" x14ac:dyDescent="0.25">
      <c r="A21" s="265"/>
      <c r="B21" s="235"/>
      <c r="C21" s="9"/>
      <c r="D21" s="9"/>
      <c r="E21" s="9"/>
      <c r="F21" s="9"/>
      <c r="G21" s="70"/>
    </row>
    <row r="22" spans="1:7" ht="19.95" customHeight="1" x14ac:dyDescent="0.25">
      <c r="A22" s="265"/>
      <c r="B22" s="235"/>
      <c r="C22" s="9"/>
      <c r="D22" s="9"/>
      <c r="E22" s="9"/>
      <c r="F22" s="9"/>
      <c r="G22" s="70"/>
    </row>
    <row r="23" spans="1:7" ht="19.95" customHeight="1" x14ac:dyDescent="0.25">
      <c r="A23" s="265"/>
      <c r="B23" s="235"/>
      <c r="C23" s="9"/>
      <c r="D23" s="9"/>
      <c r="E23" s="9"/>
      <c r="F23" s="9"/>
      <c r="G23" s="70"/>
    </row>
    <row r="24" spans="1:7" ht="19.95" customHeight="1" x14ac:dyDescent="0.25">
      <c r="A24" s="265"/>
      <c r="B24" s="235"/>
      <c r="C24" s="9"/>
      <c r="D24" s="9"/>
      <c r="E24" s="9"/>
      <c r="F24" s="9"/>
      <c r="G24" s="70"/>
    </row>
    <row r="25" spans="1:7" ht="19.95" customHeight="1" x14ac:dyDescent="0.25">
      <c r="A25" s="265"/>
      <c r="B25" s="235"/>
      <c r="C25" s="9"/>
      <c r="D25" s="9"/>
      <c r="E25" s="9"/>
      <c r="F25" s="9"/>
      <c r="G25" s="70"/>
    </row>
    <row r="26" spans="1:7" ht="19.95" customHeight="1" thickBot="1" x14ac:dyDescent="0.3">
      <c r="A26" s="265"/>
      <c r="B26" s="236"/>
      <c r="C26" s="71"/>
      <c r="D26" s="71"/>
      <c r="E26" s="71"/>
      <c r="F26" s="71"/>
      <c r="G26" s="72"/>
    </row>
    <row r="27" spans="1:7" ht="19.95" customHeight="1" thickTop="1" x14ac:dyDescent="0.25">
      <c r="A27" s="265"/>
    </row>
    <row r="28" spans="1:7" ht="13.2" x14ac:dyDescent="0.25">
      <c r="A28" s="265"/>
    </row>
    <row r="29" spans="1:7" ht="13.2" x14ac:dyDescent="0.25">
      <c r="A29" s="265"/>
    </row>
    <row r="31" spans="1:7" ht="31.2" customHeight="1" x14ac:dyDescent="0.25"/>
  </sheetData>
  <mergeCells count="5">
    <mergeCell ref="A17:A19"/>
    <mergeCell ref="A20:A23"/>
    <mergeCell ref="A26:A29"/>
    <mergeCell ref="A24:A25"/>
    <mergeCell ref="B2:C2"/>
  </mergeCells>
  <phoneticPr fontId="6" type="noConversion"/>
  <pageMargins left="0.74805557727813721" right="0.74805557727813721" top="0.98430556058883667" bottom="0.98430556058883667" header="0.51138889789581299" footer="0.51138889789581299"/>
  <pageSetup paperSize="9" scale="84" fitToWidth="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Spinner 1">
              <controlPr defaultSize="0" autoPict="0">
                <anchor moveWithCells="1" sizeWithCells="1">
                  <from>
                    <xdr:col>5</xdr:col>
                    <xdr:colOff>975360</xdr:colOff>
                    <xdr:row>0</xdr:row>
                    <xdr:rowOff>220980</xdr:rowOff>
                  </from>
                  <to>
                    <xdr:col>6</xdr:col>
                    <xdr:colOff>0</xdr:colOff>
                    <xdr:row>1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5" name="Spinner 3">
              <controlPr defaultSize="0" autoPict="0">
                <anchor moveWithCells="1" sizeWithCells="1">
                  <from>
                    <xdr:col>6</xdr:col>
                    <xdr:colOff>975360</xdr:colOff>
                    <xdr:row>0</xdr:row>
                    <xdr:rowOff>236220</xdr:rowOff>
                  </from>
                  <to>
                    <xdr:col>7</xdr:col>
                    <xdr:colOff>0</xdr:colOff>
                    <xdr:row>1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6EC30-D769-4377-A0D0-E31FBD027D62}">
  <sheetPr codeName="Sheet4"/>
  <dimension ref="A1:AM98"/>
  <sheetViews>
    <sheetView topLeftCell="A69" zoomScale="102" zoomScaleNormal="102" workbookViewId="0">
      <selection activeCell="B47" sqref="B47"/>
    </sheetView>
  </sheetViews>
  <sheetFormatPr defaultColWidth="13.77734375" defaultRowHeight="15.6" x14ac:dyDescent="0.25"/>
  <cols>
    <col min="1" max="1" width="14.44140625" style="122" customWidth="1"/>
    <col min="2" max="2" width="16.77734375" style="122" bestFit="1" customWidth="1"/>
    <col min="3" max="4" width="13.77734375" style="122"/>
    <col min="5" max="5" width="14.44140625" style="122" customWidth="1"/>
    <col min="6" max="34" width="13.77734375" style="122"/>
    <col min="35" max="16384" width="13.77734375" style="39"/>
  </cols>
  <sheetData>
    <row r="1" spans="2:39" hidden="1" x14ac:dyDescent="0.25"/>
    <row r="2" spans="2:39" ht="22.8" hidden="1" x14ac:dyDescent="0.25">
      <c r="C2" s="122" t="s">
        <v>100</v>
      </c>
      <c r="D2" s="122">
        <f>DATE(월총근무일과시간!$F$2,월총근무일과시간!$G$2,1)</f>
        <v>45717</v>
      </c>
      <c r="E2" s="122">
        <f t="shared" ref="E2:AH2" si="0">D2+1</f>
        <v>45718</v>
      </c>
      <c r="F2" s="122">
        <f t="shared" si="0"/>
        <v>45719</v>
      </c>
      <c r="G2" s="122">
        <f t="shared" si="0"/>
        <v>45720</v>
      </c>
      <c r="H2" s="122">
        <f t="shared" si="0"/>
        <v>45721</v>
      </c>
      <c r="I2" s="122">
        <f t="shared" si="0"/>
        <v>45722</v>
      </c>
      <c r="J2" s="122">
        <f t="shared" si="0"/>
        <v>45723</v>
      </c>
      <c r="K2" s="122">
        <f t="shared" si="0"/>
        <v>45724</v>
      </c>
      <c r="L2" s="122">
        <f t="shared" si="0"/>
        <v>45725</v>
      </c>
      <c r="M2" s="122">
        <f t="shared" si="0"/>
        <v>45726</v>
      </c>
      <c r="N2" s="122">
        <f t="shared" si="0"/>
        <v>45727</v>
      </c>
      <c r="O2" s="122">
        <f t="shared" si="0"/>
        <v>45728</v>
      </c>
      <c r="P2" s="122">
        <f t="shared" si="0"/>
        <v>45729</v>
      </c>
      <c r="Q2" s="122">
        <f t="shared" si="0"/>
        <v>45730</v>
      </c>
      <c r="R2" s="122">
        <f t="shared" si="0"/>
        <v>45731</v>
      </c>
      <c r="S2" s="122">
        <f t="shared" si="0"/>
        <v>45732</v>
      </c>
      <c r="T2" s="122">
        <f t="shared" si="0"/>
        <v>45733</v>
      </c>
      <c r="U2" s="122">
        <f t="shared" si="0"/>
        <v>45734</v>
      </c>
      <c r="V2" s="122">
        <f t="shared" si="0"/>
        <v>45735</v>
      </c>
      <c r="W2" s="122">
        <f t="shared" si="0"/>
        <v>45736</v>
      </c>
      <c r="X2" s="122">
        <f t="shared" si="0"/>
        <v>45737</v>
      </c>
      <c r="Y2" s="122">
        <f t="shared" si="0"/>
        <v>45738</v>
      </c>
      <c r="Z2" s="122">
        <f t="shared" si="0"/>
        <v>45739</v>
      </c>
      <c r="AA2" s="122">
        <f t="shared" si="0"/>
        <v>45740</v>
      </c>
      <c r="AB2" s="122">
        <f t="shared" si="0"/>
        <v>45741</v>
      </c>
      <c r="AC2" s="122">
        <f t="shared" si="0"/>
        <v>45742</v>
      </c>
      <c r="AD2" s="122">
        <f t="shared" si="0"/>
        <v>45743</v>
      </c>
      <c r="AE2" s="122">
        <f t="shared" si="0"/>
        <v>45744</v>
      </c>
      <c r="AF2" s="122">
        <f t="shared" si="0"/>
        <v>45745</v>
      </c>
      <c r="AG2" s="122">
        <f t="shared" si="0"/>
        <v>45746</v>
      </c>
      <c r="AH2" s="122">
        <f t="shared" si="0"/>
        <v>45747</v>
      </c>
      <c r="AL2" s="127"/>
      <c r="AM2" s="127"/>
    </row>
    <row r="3" spans="2:39" hidden="1" x14ac:dyDescent="0.25">
      <c r="B3" s="154">
        <v>1</v>
      </c>
      <c r="C3" s="123" t="str">
        <f>이름기초!$B$11</f>
        <v>한영희</v>
      </c>
      <c r="D3" s="122" t="str" cm="1">
        <f t="array" ref="D3">IF(OR(SUMPRODUCT(($F$26:$F$31=D$2)*($G$26:$G$31=$C$3))=1,SUMPRODUCT(($B$38:$B$43=D$2)*($C$38:$C$43=$C$3))=1,
        SUMPRODUCT(($F$38:$F$43=D$2)*($G$38:$G$43=$C$3))=1), "",휴무요일과특정일휴무!C53)</f>
        <v>한영희</v>
      </c>
      <c r="E3" s="122" t="str" cm="1">
        <f t="array" ref="E3">IF(OR(SUMPRODUCT(($F$26:$F$31=E$2)*($G$26:$G$31=$C$3))=1,SUMPRODUCT(($B$38:$B$43=E$2)*($C$38:$C$43=$C$3))=1,
        SUMPRODUCT(($F$38:$F$43=E$2)*($G$38:$G$43=$C$3))=1), "",휴무요일과특정일휴무!D53)</f>
        <v>한영희</v>
      </c>
      <c r="F3" s="122" t="str" cm="1">
        <f t="array" ref="F3">IF(OR(SUMPRODUCT(($F$26:$F$31=F$2)*($G$26:$G$31=$C$3))=1,SUMPRODUCT(($B$38:$B$43=F$2)*($C$38:$C$43=$C$3))=1,
        SUMPRODUCT(($F$38:$F$43=F$2)*($G$38:$G$43=$C$3))=1), "",휴무요일과특정일휴무!E53)</f>
        <v>한영희</v>
      </c>
      <c r="G3" s="122" t="str" cm="1">
        <f t="array" ref="G3">IF(OR(SUMPRODUCT(($F$26:$F$31=G$2)*($G$26:$G$31=$C$3))=1,SUMPRODUCT(($B$38:$B$43=G$2)*($C$38:$C$43=$C$3))=1,
        SUMPRODUCT(($F$38:$F$43=G$2)*($G$38:$G$43=$C$3))=1), "",휴무요일과특정일휴무!F53)</f>
        <v>한영희</v>
      </c>
      <c r="H3" s="122" t="str" cm="1">
        <f t="array" ref="H3">IF(OR(SUMPRODUCT(($F$26:$F$31=H$2)*($G$26:$G$31=$C$3))=1,SUMPRODUCT(($B$38:$B$43=H$2)*($C$38:$C$43=$C$3))=1,
        SUMPRODUCT(($F$38:$F$43=H$2)*($G$38:$G$43=$C$3))=1), "",휴무요일과특정일휴무!G53)</f>
        <v>한영희</v>
      </c>
      <c r="I3" s="122" t="str" cm="1">
        <f t="array" ref="I3">IF(OR(SUMPRODUCT(($F$26:$F$31=I$2)*($G$26:$G$31=$C$3))=1,SUMPRODUCT(($B$38:$B$43=I$2)*($C$38:$C$43=$C$3))=1,
        SUMPRODUCT(($F$38:$F$43=I$2)*($G$38:$G$43=$C$3))=1), "",휴무요일과특정일휴무!H53)</f>
        <v>한영희</v>
      </c>
      <c r="J3" s="122" t="str" cm="1">
        <f t="array" ref="J3">IF(OR(SUMPRODUCT(($F$26:$F$31=J$2)*($G$26:$G$31=$C$3))=1,SUMPRODUCT(($B$38:$B$43=J$2)*($C$38:$C$43=$C$3))=1,
        SUMPRODUCT(($F$38:$F$43=J$2)*($G$38:$G$43=$C$3))=1), "",휴무요일과특정일휴무!I53)</f>
        <v>한영희</v>
      </c>
      <c r="K3" s="122" t="str" cm="1">
        <f t="array" ref="K3">IF(OR(SUMPRODUCT(($F$26:$F$31=K$2)*($G$26:$G$31=$C$3))=1,SUMPRODUCT(($B$38:$B$43=K$2)*($C$38:$C$43=$C$3))=1,
        SUMPRODUCT(($F$38:$F$43=K$2)*($G$38:$G$43=$C$3))=1), "",휴무요일과특정일휴무!J53)</f>
        <v>한영희</v>
      </c>
      <c r="L3" s="122" t="str" cm="1">
        <f t="array" ref="L3">IF(OR(SUMPRODUCT(($F$26:$F$31=L$2)*($G$26:$G$31=$C$3))=1,SUMPRODUCT(($B$38:$B$43=L$2)*($C$38:$C$43=$C$3))=1,
        SUMPRODUCT(($F$38:$F$43=L$2)*($G$38:$G$43=$C$3))=1), "",휴무요일과특정일휴무!K53)</f>
        <v>한영희</v>
      </c>
      <c r="M3" s="122" t="str" cm="1">
        <f t="array" ref="M3">IF(OR(SUMPRODUCT(($F$26:$F$31=M$2)*($G$26:$G$31=$C$3))=1,SUMPRODUCT(($B$38:$B$43=M$2)*($C$38:$C$43=$C$3))=1,
        SUMPRODUCT(($F$38:$F$43=M$2)*($G$38:$G$43=$C$3))=1), "",휴무요일과특정일휴무!L53)</f>
        <v>한영희</v>
      </c>
      <c r="N3" s="122" t="str" cm="1">
        <f t="array" ref="N3">IF(OR(SUMPRODUCT(($F$26:$F$31=N$2)*($G$26:$G$31=$C$3))=1,SUMPRODUCT(($B$38:$B$43=N$2)*($C$38:$C$43=$C$3))=1,
        SUMPRODUCT(($F$38:$F$43=N$2)*($G$38:$G$43=$C$3))=1), "",휴무요일과특정일휴무!M53)</f>
        <v>한영희</v>
      </c>
      <c r="O3" s="122" t="str" cm="1">
        <f t="array" ref="O3">IF(OR(SUMPRODUCT(($F$26:$F$31=O$2)*($G$26:$G$31=$C$3))=1,SUMPRODUCT(($B$38:$B$43=O$2)*($C$38:$C$43=$C$3))=1,
        SUMPRODUCT(($F$38:$F$43=O$2)*($G$38:$G$43=$C$3))=1), "",휴무요일과특정일휴무!N53)</f>
        <v>한영희</v>
      </c>
      <c r="P3" s="122" t="str" cm="1">
        <f t="array" ref="P3">IF(OR(SUMPRODUCT(($F$26:$F$31=P$2)*($G$26:$G$31=$C$3))=1,SUMPRODUCT(($B$38:$B$43=P$2)*($C$38:$C$43=$C$3))=1,
        SUMPRODUCT(($F$38:$F$43=P$2)*($G$38:$G$43=$C$3))=1), "",휴무요일과특정일휴무!O53)</f>
        <v>한영희</v>
      </c>
      <c r="Q3" s="122" t="str" cm="1">
        <f t="array" ref="Q3">IF(OR(SUMPRODUCT(($F$26:$F$31=Q$2)*($G$26:$G$31=$C$3))=1,SUMPRODUCT(($B$38:$B$43=Q$2)*($C$38:$C$43=$C$3))=1,
        SUMPRODUCT(($F$38:$F$43=Q$2)*($G$38:$G$43=$C$3))=1), "",휴무요일과특정일휴무!P53)</f>
        <v>한영희</v>
      </c>
      <c r="R3" s="122" t="str" cm="1">
        <f t="array" ref="R3">IF(OR(SUMPRODUCT(($F$26:$F$31=R$2)*($G$26:$G$31=$C$3))=1,SUMPRODUCT(($B$38:$B$43=R$2)*($C$38:$C$43=$C$3))=1,
        SUMPRODUCT(($F$38:$F$43=R$2)*($G$38:$G$43=$C$3))=1), "",휴무요일과특정일휴무!Q53)</f>
        <v>한영희</v>
      </c>
      <c r="S3" s="122" t="str" cm="1">
        <f t="array" ref="S3">IF(OR(SUMPRODUCT(($F$26:$F$31=S$2)*($G$26:$G$31=$C$3))=1,SUMPRODUCT(($B$38:$B$43=S$2)*($C$38:$C$43=$C$3))=1,
        SUMPRODUCT(($F$38:$F$43=S$2)*($G$38:$G$43=$C$3))=1), "",휴무요일과특정일휴무!R53)</f>
        <v>한영희</v>
      </c>
      <c r="T3" s="122" t="str" cm="1">
        <f t="array" ref="T3">IF(OR(SUMPRODUCT(($F$26:$F$31=T$2)*($G$26:$G$31=$C$3))=1,SUMPRODUCT(($B$38:$B$43=T$2)*($C$38:$C$43=$C$3))=1,
        SUMPRODUCT(($F$38:$F$43=T$2)*($G$38:$G$43=$C$3))=1), "",휴무요일과특정일휴무!S53)</f>
        <v>한영희</v>
      </c>
      <c r="U3" s="122" t="str" cm="1">
        <f t="array" ref="U3">IF(OR(SUMPRODUCT(($F$26:$F$31=U$2)*($G$26:$G$31=$C$3))=1,SUMPRODUCT(($B$38:$B$43=U$2)*($C$38:$C$43=$C$3))=1,
        SUMPRODUCT(($F$38:$F$43=U$2)*($G$38:$G$43=$C$3))=1), "",휴무요일과특정일휴무!T53)</f>
        <v>한영희</v>
      </c>
      <c r="V3" s="122" t="str" cm="1">
        <f t="array" ref="V3">IF(OR(SUMPRODUCT(($F$26:$F$31=V$2)*($G$26:$G$31=$C$3))=1,SUMPRODUCT(($B$38:$B$43=V$2)*($C$38:$C$43=$C$3))=1,
        SUMPRODUCT(($F$38:$F$43=V$2)*($G$38:$G$43=$C$3))=1), "",휴무요일과특정일휴무!U53)</f>
        <v>한영희</v>
      </c>
      <c r="W3" s="122" t="str" cm="1">
        <f t="array" ref="W3">IF(OR(SUMPRODUCT(($F$26:$F$31=W$2)*($G$26:$G$31=$C$3))=1,SUMPRODUCT(($B$38:$B$43=W$2)*($C$38:$C$43=$C$3))=1,
        SUMPRODUCT(($F$38:$F$43=W$2)*($G$38:$G$43=$C$3))=1), "",휴무요일과특정일휴무!V53)</f>
        <v>한영희</v>
      </c>
      <c r="X3" s="122" t="str" cm="1">
        <f t="array" ref="X3">IF(OR(SUMPRODUCT(($F$26:$F$31=X$2)*($G$26:$G$31=$C$3))=1,SUMPRODUCT(($B$38:$B$43=X$2)*($C$38:$C$43=$C$3))=1,
        SUMPRODUCT(($F$38:$F$43=X$2)*($G$38:$G$43=$C$3))=1), "",휴무요일과특정일휴무!W53)</f>
        <v>한영희</v>
      </c>
      <c r="Y3" s="122" t="str" cm="1">
        <f t="array" ref="Y3">IF(OR(SUMPRODUCT(($F$26:$F$31=Y$2)*($G$26:$G$31=$C$3))=1,SUMPRODUCT(($B$38:$B$43=Y$2)*($C$38:$C$43=$C$3))=1,
        SUMPRODUCT(($F$38:$F$43=Y$2)*($G$38:$G$43=$C$3))=1), "",휴무요일과특정일휴무!X53)</f>
        <v>한영희</v>
      </c>
      <c r="Z3" s="122" t="str" cm="1">
        <f t="array" ref="Z3">IF(OR(SUMPRODUCT(($F$26:$F$31=Z$2)*($G$26:$G$31=$C$3))=1,SUMPRODUCT(($B$38:$B$43=Z$2)*($C$38:$C$43=$C$3))=1,
        SUMPRODUCT(($F$38:$F$43=Z$2)*($G$38:$G$43=$C$3))=1), "",휴무요일과특정일휴무!Y53)</f>
        <v>한영희</v>
      </c>
      <c r="AA3" s="122" t="str" cm="1">
        <f t="array" ref="AA3">IF(OR(SUMPRODUCT(($F$26:$F$31=AA$2)*($G$26:$G$31=$C$3))=1,SUMPRODUCT(($B$38:$B$43=AA$2)*($C$38:$C$43=$C$3))=1,
        SUMPRODUCT(($F$38:$F$43=AA$2)*($G$38:$G$43=$C$3))=1), "",휴무요일과특정일휴무!Z53)</f>
        <v>한영희</v>
      </c>
      <c r="AB3" s="122" t="str" cm="1">
        <f t="array" ref="AB3">IF(OR(SUMPRODUCT(($F$26:$F$31=AB$2)*($G$26:$G$31=$C$3))=1,SUMPRODUCT(($B$38:$B$43=AB$2)*($C$38:$C$43=$C$3))=1,
        SUMPRODUCT(($F$38:$F$43=AB$2)*($G$38:$G$43=$C$3))=1), "",휴무요일과특정일휴무!AA53)</f>
        <v>한영희</v>
      </c>
      <c r="AC3" s="122" t="str" cm="1">
        <f t="array" ref="AC3">IF(OR(SUMPRODUCT(($F$26:$F$31=AC$2)*($G$26:$G$31=$C$3))=1,SUMPRODUCT(($B$38:$B$43=AC$2)*($C$38:$C$43=$C$3))=1,
        SUMPRODUCT(($F$38:$F$43=AC$2)*($G$38:$G$43=$C$3))=1), "",휴무요일과특정일휴무!AB53)</f>
        <v>한영희</v>
      </c>
      <c r="AD3" s="122" t="str" cm="1">
        <f t="array" ref="AD3">IF(OR(SUMPRODUCT(($F$26:$F$31=AD$2)*($G$26:$G$31=$C$3))=1,SUMPRODUCT(($B$38:$B$43=AD$2)*($C$38:$C$43=$C$3))=1,
        SUMPRODUCT(($F$38:$F$43=AD$2)*($G$38:$G$43=$C$3))=1), "",휴무요일과특정일휴무!AC53)</f>
        <v>한영희</v>
      </c>
      <c r="AE3" s="122" t="str" cm="1">
        <f t="array" ref="AE3">IF(OR(SUMPRODUCT(($F$26:$F$31=AE$2)*($G$26:$G$31=$C$3))=1,SUMPRODUCT(($B$38:$B$43=AE$2)*($C$38:$C$43=$C$3))=1,
        SUMPRODUCT(($F$38:$F$43=AE$2)*($G$38:$G$43=$C$3))=1), "",휴무요일과특정일휴무!AD53)</f>
        <v>한영희</v>
      </c>
      <c r="AF3" s="122" t="str" cm="1">
        <f t="array" ref="AF3">IF(OR(SUMPRODUCT(($F$26:$F$31=AF$2)*($G$26:$G$31=$C$3))=1,SUMPRODUCT(($B$38:$B$43=AF$2)*($C$38:$C$43=$C$3))=1,
        SUMPRODUCT(($F$38:$F$43=AF$2)*($G$38:$G$43=$C$3))=1), "",휴무요일과특정일휴무!AE53)</f>
        <v>한영희</v>
      </c>
      <c r="AG3" s="122" t="str" cm="1">
        <f t="array" ref="AG3">IF(OR(SUMPRODUCT(($F$26:$F$31=AG$2)*($G$26:$G$31=$C$3))=1,SUMPRODUCT(($B$38:$B$43=AG$2)*($C$38:$C$43=$C$3))=1,
        SUMPRODUCT(($F$38:$F$43=AG$2)*($G$38:$G$43=$C$3))=1), "",휴무요일과특정일휴무!AF53)</f>
        <v>한영희</v>
      </c>
      <c r="AH3" s="122" t="str" cm="1">
        <f t="array" ref="AH3">IF(OR(SUMPRODUCT(($F$26:$F$31=AH$2)*($G$26:$G$31=$C$3))=1,SUMPRODUCT(($B$38:$B$43=AH$2)*($C$38:$C$43=$C$3))=1,
        SUMPRODUCT(($F$38:$F$43=AH$2)*($G$38:$G$43=$C$3))=1), "",휴무요일과특정일휴무!AG53)</f>
        <v>한영희</v>
      </c>
      <c r="AL3" s="121"/>
      <c r="AM3" s="121"/>
    </row>
    <row r="4" spans="2:39" hidden="1" x14ac:dyDescent="0.25">
      <c r="B4" s="154">
        <v>2</v>
      </c>
      <c r="C4" s="123" t="str">
        <f>이름기초!$B$12</f>
        <v>장영대</v>
      </c>
      <c r="D4" s="122" t="str" cm="1">
        <f t="array" ref="D4">IF(OR(SUMPRODUCT(($F$26:$F$31=D$2)*($G$26:$G$31=$C$4))=1,SUMPRODUCT(($B$38:$B$43=D$2)*($C$38:$C$43=$C$4))=1,
        SUMPRODUCT(($F$38:$F$43=D$2)*($G$38:$G$43=$C$4))=1), "",휴무요일과특정일휴무!C54)</f>
        <v>장영대</v>
      </c>
      <c r="E4" s="122" t="str" cm="1">
        <f t="array" ref="E4">IF(OR(SUMPRODUCT(($F$26:$F$31=E$2)*($G$26:$G$31=D4))=1,SUMPRODUCT(($B$38:$B$43=E$2)*($C$38:$C$43=D4))=1,
        SUMPRODUCT(($F$38:$F$43=E$2)*($G$38:$G$43=D4))=1), "",휴무요일과특정일휴무!D54)</f>
        <v>장영대</v>
      </c>
      <c r="F4" s="122" t="str" cm="1">
        <f t="array" ref="F4">IF(OR(SUMPRODUCT(($F$26:$F$31=F$2)*($G$26:$G$31=E4))=1,SUMPRODUCT(($B$38:$B$43=F$2)*($C$38:$C$43=E4))=1,
        SUMPRODUCT(($F$38:$F$43=F$2)*($G$38:$G$43=E4))=1), "",휴무요일과특정일휴무!E54)</f>
        <v>장영대</v>
      </c>
      <c r="G4" s="122" t="str" cm="1">
        <f t="array" ref="G4">IF(OR(SUMPRODUCT(($F$26:$F$31=G$2)*($G$26:$G$31=F4))=1,SUMPRODUCT(($B$38:$B$43=G$2)*($C$38:$C$43=F4))=1,
        SUMPRODUCT(($F$38:$F$43=G$2)*($G$38:$G$43=F4))=1), "",휴무요일과특정일휴무!F54)</f>
        <v>장영대</v>
      </c>
      <c r="H4" s="122" t="str" cm="1">
        <f t="array" ref="H4">IF(OR(SUMPRODUCT(($F$26:$F$31=H$2)*($G$26:$G$31=G4))=1,SUMPRODUCT(($B$38:$B$43=H$2)*($C$38:$C$43=G4))=1,
        SUMPRODUCT(($F$38:$F$43=H$2)*($G$38:$G$43=G4))=1), "",휴무요일과특정일휴무!G54)</f>
        <v/>
      </c>
      <c r="I4" s="122" t="str" cm="1">
        <f t="array" ref="I4">IF(OR(SUMPRODUCT(($F$26:$F$31=I$2)*($G$26:$G$31=H4))=1,SUMPRODUCT(($B$38:$B$43=I$2)*($C$38:$C$43=H4))=1,
        SUMPRODUCT(($F$38:$F$43=I$2)*($G$38:$G$43=H4))=1), "",휴무요일과특정일휴무!H54)</f>
        <v/>
      </c>
      <c r="J4" s="122" t="str" cm="1">
        <f t="array" ref="J4">IF(OR(SUMPRODUCT(($F$26:$F$31=J$2)*($G$26:$G$31=I4))=1,SUMPRODUCT(($B$38:$B$43=J$2)*($C$38:$C$43=I4))=1,
        SUMPRODUCT(($F$38:$F$43=J$2)*($G$38:$G$43=I4))=1), "",휴무요일과특정일휴무!I54)</f>
        <v/>
      </c>
      <c r="K4" s="122" t="str" cm="1">
        <f t="array" ref="K4">IF(OR(SUMPRODUCT(($F$26:$F$31=K$2)*($G$26:$G$31=J4))=1,SUMPRODUCT(($B$38:$B$43=K$2)*($C$38:$C$43=J4))=1,
        SUMPRODUCT(($F$38:$F$43=K$2)*($G$38:$G$43=J4))=1), "",휴무요일과특정일휴무!J54)</f>
        <v>장영대</v>
      </c>
      <c r="L4" s="122" t="str" cm="1">
        <f t="array" ref="L4">IF(OR(SUMPRODUCT(($F$26:$F$31=L$2)*($G$26:$G$31=K4))=1,SUMPRODUCT(($B$38:$B$43=L$2)*($C$38:$C$43=K4))=1,
        SUMPRODUCT(($F$38:$F$43=L$2)*($G$38:$G$43=K4))=1), "",휴무요일과특정일휴무!K54)</f>
        <v>장영대</v>
      </c>
      <c r="M4" s="122" t="str" cm="1">
        <f t="array" ref="M4">IF(OR(SUMPRODUCT(($F$26:$F$31=M$2)*($G$26:$G$31=L4))=1,SUMPRODUCT(($B$38:$B$43=M$2)*($C$38:$C$43=L4))=1,
        SUMPRODUCT(($F$38:$F$43=M$2)*($G$38:$G$43=L4))=1), "",휴무요일과특정일휴무!L54)</f>
        <v>장영대</v>
      </c>
      <c r="N4" s="122" t="str" cm="1">
        <f t="array" ref="N4">IF(OR(SUMPRODUCT(($F$26:$F$31=N$2)*($G$26:$G$31=M4))=1,SUMPRODUCT(($B$38:$B$43=N$2)*($C$38:$C$43=M4))=1,
        SUMPRODUCT(($F$38:$F$43=N$2)*($G$38:$G$43=M4))=1), "",휴무요일과특정일휴무!M54)</f>
        <v>장영대</v>
      </c>
      <c r="O4" s="122" t="str" cm="1">
        <f t="array" ref="O4">IF(OR(SUMPRODUCT(($F$26:$F$31=O$2)*($G$26:$G$31=N4))=1,SUMPRODUCT(($B$38:$B$43=O$2)*($C$38:$C$43=N4))=1,
        SUMPRODUCT(($F$38:$F$43=O$2)*($G$38:$G$43=N4))=1), "",휴무요일과특정일휴무!N54)</f>
        <v/>
      </c>
      <c r="P4" s="122" t="str" cm="1">
        <f t="array" ref="P4">IF(OR(SUMPRODUCT(($F$26:$F$31=P$2)*($G$26:$G$31=O4))=1,SUMPRODUCT(($B$38:$B$43=P$2)*($C$38:$C$43=O4))=1,
        SUMPRODUCT(($F$38:$F$43=P$2)*($G$38:$G$43=O4))=1), "",휴무요일과특정일휴무!O54)</f>
        <v/>
      </c>
      <c r="Q4" s="122" t="str" cm="1">
        <f t="array" ref="Q4">IF(OR(SUMPRODUCT(($F$26:$F$31=Q$2)*($G$26:$G$31=P4))=1,SUMPRODUCT(($B$38:$B$43=Q$2)*($C$38:$C$43=P4))=1,
        SUMPRODUCT(($F$38:$F$43=Q$2)*($G$38:$G$43=P4))=1), "",휴무요일과특정일휴무!P54)</f>
        <v/>
      </c>
      <c r="R4" s="122" t="str" cm="1">
        <f t="array" ref="R4">IF(OR(SUMPRODUCT(($F$26:$F$31=R$2)*($G$26:$G$31=Q4))=1,SUMPRODUCT(($B$38:$B$43=R$2)*($C$38:$C$43=Q4))=1,
        SUMPRODUCT(($F$38:$F$43=R$2)*($G$38:$G$43=Q4))=1), "",휴무요일과특정일휴무!Q54)</f>
        <v>장영대</v>
      </c>
      <c r="S4" s="122" t="str" cm="1">
        <f t="array" ref="S4">IF(OR(SUMPRODUCT(($F$26:$F$31=S$2)*($G$26:$G$31=R4))=1,SUMPRODUCT(($B$38:$B$43=S$2)*($C$38:$C$43=R4))=1,
        SUMPRODUCT(($F$38:$F$43=S$2)*($G$38:$G$43=R4))=1), "",휴무요일과특정일휴무!R54)</f>
        <v>장영대</v>
      </c>
      <c r="T4" s="122" t="str" cm="1">
        <f t="array" ref="T4">IF(OR(SUMPRODUCT(($F$26:$F$31=T$2)*($G$26:$G$31=S4))=1,SUMPRODUCT(($B$38:$B$43=T$2)*($C$38:$C$43=S4))=1,
        SUMPRODUCT(($F$38:$F$43=T$2)*($G$38:$G$43=S4))=1), "",휴무요일과특정일휴무!S54)</f>
        <v>장영대</v>
      </c>
      <c r="U4" s="122" t="str" cm="1">
        <f t="array" ref="U4">IF(OR(SUMPRODUCT(($F$26:$F$31=U$2)*($G$26:$G$31=T4))=1,SUMPRODUCT(($B$38:$B$43=U$2)*($C$38:$C$43=T4))=1,
        SUMPRODUCT(($F$38:$F$43=U$2)*($G$38:$G$43=T4))=1), "",휴무요일과특정일휴무!T54)</f>
        <v>장영대</v>
      </c>
      <c r="V4" s="122" t="str" cm="1">
        <f t="array" ref="V4">IF(OR(SUMPRODUCT(($F$26:$F$31=V$2)*($G$26:$G$31=U4))=1,SUMPRODUCT(($B$38:$B$43=V$2)*($C$38:$C$43=U4))=1,
        SUMPRODUCT(($F$38:$F$43=V$2)*($G$38:$G$43=U4))=1), "",휴무요일과특정일휴무!U54)</f>
        <v/>
      </c>
      <c r="W4" s="122" t="str" cm="1">
        <f t="array" ref="W4">IF(OR(SUMPRODUCT(($F$26:$F$31=W$2)*($G$26:$G$31=V4))=1,SUMPRODUCT(($B$38:$B$43=W$2)*($C$38:$C$43=V4))=1,
        SUMPRODUCT(($F$38:$F$43=W$2)*($G$38:$G$43=V4))=1), "",휴무요일과특정일휴무!V54)</f>
        <v/>
      </c>
      <c r="X4" s="122" t="str" cm="1">
        <f t="array" ref="X4">IF(OR(SUMPRODUCT(($F$26:$F$31=X$2)*($G$26:$G$31=W4))=1,SUMPRODUCT(($B$38:$B$43=X$2)*($C$38:$C$43=W4))=1,
        SUMPRODUCT(($F$38:$F$43=X$2)*($G$38:$G$43=W4))=1), "",휴무요일과특정일휴무!W54)</f>
        <v/>
      </c>
      <c r="Y4" s="122" t="str" cm="1">
        <f t="array" ref="Y4">IF(OR(SUMPRODUCT(($F$26:$F$31=Y$2)*($G$26:$G$31=X4))=1,SUMPRODUCT(($B$38:$B$43=Y$2)*($C$38:$C$43=X4))=1,
        SUMPRODUCT(($F$38:$F$43=Y$2)*($G$38:$G$43=X4))=1), "",휴무요일과특정일휴무!X54)</f>
        <v>장영대</v>
      </c>
      <c r="Z4" s="122" t="str" cm="1">
        <f t="array" ref="Z4">IF(OR(SUMPRODUCT(($F$26:$F$31=Z$2)*($G$26:$G$31=Y4))=1,SUMPRODUCT(($B$38:$B$43=Z$2)*($C$38:$C$43=Y4))=1,
        SUMPRODUCT(($F$38:$F$43=Z$2)*($G$38:$G$43=Y4))=1), "",휴무요일과특정일휴무!Y54)</f>
        <v>장영대</v>
      </c>
      <c r="AA4" s="122" t="str" cm="1">
        <f t="array" ref="AA4">IF(OR(SUMPRODUCT(($F$26:$F$31=AA$2)*($G$26:$G$31=Z4))=1,SUMPRODUCT(($B$38:$B$43=AA$2)*($C$38:$C$43=Z4))=1,
        SUMPRODUCT(($F$38:$F$43=AA$2)*($G$38:$G$43=Z4))=1), "",휴무요일과특정일휴무!Z54)</f>
        <v>장영대</v>
      </c>
      <c r="AB4" s="122" t="str" cm="1">
        <f t="array" ref="AB4">IF(OR(SUMPRODUCT(($F$26:$F$31=AB$2)*($G$26:$G$31=AA4))=1,SUMPRODUCT(($B$38:$B$43=AB$2)*($C$38:$C$43=AA4))=1,
        SUMPRODUCT(($F$38:$F$43=AB$2)*($G$38:$G$43=AA4))=1), "",휴무요일과특정일휴무!AA54)</f>
        <v>장영대</v>
      </c>
      <c r="AC4" s="122" t="str" cm="1">
        <f t="array" ref="AC4">IF(OR(SUMPRODUCT(($F$26:$F$31=AC$2)*($G$26:$G$31=AB4))=1,SUMPRODUCT(($B$38:$B$43=AC$2)*($C$38:$C$43=AB4))=1,
        SUMPRODUCT(($F$38:$F$43=AC$2)*($G$38:$G$43=AB4))=1), "",휴무요일과특정일휴무!AB54)</f>
        <v>장영대</v>
      </c>
      <c r="AD4" s="122" t="str" cm="1">
        <f t="array" ref="AD4">IF(OR(SUMPRODUCT(($F$26:$F$31=AD$2)*($G$26:$G$31=AC4))=1,SUMPRODUCT(($B$38:$B$43=AD$2)*($C$38:$C$43=AC4))=1,
        SUMPRODUCT(($F$38:$F$43=AD$2)*($G$38:$G$43=AC4))=1), "",휴무요일과특정일휴무!AC54)</f>
        <v/>
      </c>
      <c r="AE4" s="122" t="str" cm="1">
        <f t="array" ref="AE4">IF(OR(SUMPRODUCT(($F$26:$F$31=AE$2)*($G$26:$G$31=AD4))=1,SUMPRODUCT(($B$38:$B$43=AE$2)*($C$38:$C$43=AD4))=1,
        SUMPRODUCT(($F$38:$F$43=AE$2)*($G$38:$G$43=AD4))=1), "",휴무요일과특정일휴무!AD54)</f>
        <v/>
      </c>
      <c r="AF4" s="122" t="str" cm="1">
        <f t="array" ref="AF4">IF(OR(SUMPRODUCT(($F$26:$F$31=AF$2)*($G$26:$G$31=AE4))=1,SUMPRODUCT(($B$38:$B$43=AF$2)*($C$38:$C$43=AE4))=1,
        SUMPRODUCT(($F$38:$F$43=AF$2)*($G$38:$G$43=AE4))=1), "",휴무요일과특정일휴무!AE54)</f>
        <v>장영대</v>
      </c>
      <c r="AG4" s="122" t="str" cm="1">
        <f t="array" ref="AG4">IF(OR(SUMPRODUCT(($F$26:$F$31=AG$2)*($G$26:$G$31=AF4))=1,SUMPRODUCT(($B$38:$B$43=AG$2)*($C$38:$C$43=AF4))=1,
        SUMPRODUCT(($F$38:$F$43=AG$2)*($G$38:$G$43=AF4))=1), "",휴무요일과특정일휴무!AF54)</f>
        <v>장영대</v>
      </c>
      <c r="AH4" s="122" t="str" cm="1">
        <f t="array" ref="AH4">IF(OR(SUMPRODUCT(($F$26:$F$31=AH$2)*($G$26:$G$31=AG4))=1,SUMPRODUCT(($B$38:$B$43=AH$2)*($C$38:$C$43=AG4))=1,
        SUMPRODUCT(($F$38:$F$43=AH$2)*($G$38:$G$43=AG4))=1), "",휴무요일과특정일휴무!AG54)</f>
        <v>장영대</v>
      </c>
      <c r="AL4" s="121"/>
      <c r="AM4" s="121"/>
    </row>
    <row r="5" spans="2:39" hidden="1" x14ac:dyDescent="0.25">
      <c r="B5" s="154">
        <v>3</v>
      </c>
      <c r="C5" s="123" t="str">
        <f>이름기초!$B$13</f>
        <v>위선옥</v>
      </c>
      <c r="D5" s="122" t="str" cm="1">
        <f t="array" ref="D5">IF(OR(SUMPRODUCT(($F$26:$F$31=D$2)*($G$26:$G$31=$C$5))=1,SUMPRODUCT(($B$38:$B$43=D$2)*($C$38:$C$43=$C$5))=1,
        SUMPRODUCT(($F$38:$F$43=D$2)*($G$38:$G$43=$C$5))=1), "",휴무요일과특정일휴무!C55)</f>
        <v>위선옥</v>
      </c>
      <c r="E5" s="122" t="str" cm="1">
        <f t="array" ref="E5">IF(OR(SUMPRODUCT(($F$26:$F$31=E$2)*($G$26:$G$31=$C$5))=1,SUMPRODUCT(($B$38:$B$43=E$2)*($C$38:$C$43=$C$5))=1,
        SUMPRODUCT(($F$38:$F$43=E$2)*($G$38:$G$43=$C$5))=1), "",휴무요일과특정일휴무!D55)</f>
        <v>위선옥</v>
      </c>
      <c r="F5" s="122" t="str" cm="1">
        <f t="array" ref="F5">IF(OR(SUMPRODUCT(($F$26:$F$31=F$2)*($G$26:$G$31=$C$5))=1,SUMPRODUCT(($B$38:$B$43=F$2)*($C$38:$C$43=$C$5))=1,
        SUMPRODUCT(($F$38:$F$43=F$2)*($G$38:$G$43=$C$5))=1), "",휴무요일과특정일휴무!E55)</f>
        <v>위선옥</v>
      </c>
      <c r="G5" s="122" t="str" cm="1">
        <f t="array" ref="G5">IF(OR(SUMPRODUCT(($F$26:$F$31=G$2)*($G$26:$G$31=$C$5))=1,SUMPRODUCT(($B$38:$B$43=G$2)*($C$38:$C$43=$C$5))=1,
        SUMPRODUCT(($F$38:$F$43=G$2)*($G$38:$G$43=$C$5))=1), "",휴무요일과특정일휴무!F55)</f>
        <v/>
      </c>
      <c r="H5" s="122" t="str" cm="1">
        <f t="array" ref="H5">IF(OR(SUMPRODUCT(($F$26:$F$31=H$2)*($G$26:$G$31=$C$5))=1,SUMPRODUCT(($B$38:$B$43=H$2)*($C$38:$C$43=$C$5))=1,
        SUMPRODUCT(($F$38:$F$43=H$2)*($G$38:$G$43=$C$5))=1), "",휴무요일과특정일휴무!G55)</f>
        <v/>
      </c>
      <c r="I5" s="122" t="str" cm="1">
        <f t="array" ref="I5">IF(OR(SUMPRODUCT(($F$26:$F$31=I$2)*($G$26:$G$31=$C$5))=1,SUMPRODUCT(($B$38:$B$43=I$2)*($C$38:$C$43=$C$5))=1,
        SUMPRODUCT(($F$38:$F$43=I$2)*($G$38:$G$43=$C$5))=1), "",휴무요일과특정일휴무!H55)</f>
        <v/>
      </c>
      <c r="J5" s="122" t="str" cm="1">
        <f t="array" ref="J5">IF(OR(SUMPRODUCT(($F$26:$F$31=J$2)*($G$26:$G$31=$C$5))=1,SUMPRODUCT(($B$38:$B$43=J$2)*($C$38:$C$43=$C$5))=1,
        SUMPRODUCT(($F$38:$F$43=J$2)*($G$38:$G$43=$C$5))=1), "",휴무요일과특정일휴무!I55)</f>
        <v>위선옥</v>
      </c>
      <c r="K5" s="122" t="str" cm="1">
        <f t="array" ref="K5">IF(OR(SUMPRODUCT(($F$26:$F$31=K$2)*($G$26:$G$31=$C$5))=1,SUMPRODUCT(($B$38:$B$43=K$2)*($C$38:$C$43=$C$5))=1,
        SUMPRODUCT(($F$38:$F$43=K$2)*($G$38:$G$43=$C$5))=1), "",휴무요일과특정일휴무!J55)</f>
        <v>위선옥</v>
      </c>
      <c r="L5" s="122" t="str" cm="1">
        <f t="array" ref="L5">IF(OR(SUMPRODUCT(($F$26:$F$31=L$2)*($G$26:$G$31=$C$5))=1,SUMPRODUCT(($B$38:$B$43=L$2)*($C$38:$C$43=$C$5))=1,
        SUMPRODUCT(($F$38:$F$43=L$2)*($G$38:$G$43=$C$5))=1), "",휴무요일과특정일휴무!K55)</f>
        <v>위선옥</v>
      </c>
      <c r="M5" s="122" t="str" cm="1">
        <f t="array" ref="M5">IF(OR(SUMPRODUCT(($F$26:$F$31=M$2)*($G$26:$G$31=$C$5))=1,SUMPRODUCT(($B$38:$B$43=M$2)*($C$38:$C$43=$C$5))=1,
        SUMPRODUCT(($F$38:$F$43=M$2)*($G$38:$G$43=$C$5))=1), "",휴무요일과특정일휴무!L55)</f>
        <v/>
      </c>
      <c r="N5" s="122" t="str" cm="1">
        <f t="array" ref="N5">IF(OR(SUMPRODUCT(($F$26:$F$31=N$2)*($G$26:$G$31=$C$5))=1,SUMPRODUCT(($B$38:$B$43=N$2)*($C$38:$C$43=$C$5))=1,
        SUMPRODUCT(($F$38:$F$43=N$2)*($G$38:$G$43=$C$5))=1), "",휴무요일과특정일휴무!M55)</f>
        <v/>
      </c>
      <c r="O5" s="122" t="str" cm="1">
        <f t="array" ref="O5">IF(OR(SUMPRODUCT(($F$26:$F$31=O$2)*($G$26:$G$31=$C$5))=1,SUMPRODUCT(($B$38:$B$43=O$2)*($C$38:$C$43=$C$5))=1,
        SUMPRODUCT(($F$38:$F$43=O$2)*($G$38:$G$43=$C$5))=1), "",휴무요일과특정일휴무!N55)</f>
        <v/>
      </c>
      <c r="P5" s="122" t="str" cm="1">
        <f t="array" ref="P5">IF(OR(SUMPRODUCT(($F$26:$F$31=P$2)*($G$26:$G$31=$C$5))=1,SUMPRODUCT(($B$38:$B$43=P$2)*($C$38:$C$43=$C$5))=1,
        SUMPRODUCT(($F$38:$F$43=P$2)*($G$38:$G$43=$C$5))=1), "",휴무요일과특정일휴무!O55)</f>
        <v/>
      </c>
      <c r="Q5" s="122" t="str" cm="1">
        <f t="array" ref="Q5">IF(OR(SUMPRODUCT(($F$26:$F$31=Q$2)*($G$26:$G$31=$C$5))=1,SUMPRODUCT(($B$38:$B$43=Q$2)*($C$38:$C$43=$C$5))=1,
        SUMPRODUCT(($F$38:$F$43=Q$2)*($G$38:$G$43=$C$5))=1), "",휴무요일과특정일휴무!P55)</f>
        <v/>
      </c>
      <c r="R5" s="122" t="str" cm="1">
        <f t="array" ref="R5">IF(OR(SUMPRODUCT(($F$26:$F$31=R$2)*($G$26:$G$31=$C$5))=1,SUMPRODUCT(($B$38:$B$43=R$2)*($C$38:$C$43=$C$5))=1,
        SUMPRODUCT(($F$38:$F$43=R$2)*($G$38:$G$43=$C$5))=1), "",휴무요일과특정일휴무!Q55)</f>
        <v/>
      </c>
      <c r="S5" s="122" t="str" cm="1">
        <f t="array" ref="S5">IF(OR(SUMPRODUCT(($F$26:$F$31=S$2)*($G$26:$G$31=$C$5))=1,SUMPRODUCT(($B$38:$B$43=S$2)*($C$38:$C$43=$C$5))=1,
        SUMPRODUCT(($F$38:$F$43=S$2)*($G$38:$G$43=$C$5))=1), "",휴무요일과특정일휴무!R55)</f>
        <v/>
      </c>
      <c r="T5" s="122" t="str" cm="1">
        <f t="array" ref="T5">IF(OR(SUMPRODUCT(($F$26:$F$31=T$2)*($G$26:$G$31=$C$5))=1,SUMPRODUCT(($B$38:$B$43=T$2)*($C$38:$C$43=$C$5))=1,
        SUMPRODUCT(($F$38:$F$43=T$2)*($G$38:$G$43=$C$5))=1), "",휴무요일과특정일휴무!S55)</f>
        <v/>
      </c>
      <c r="U5" s="122" t="str" cm="1">
        <f t="array" ref="U5">IF(OR(SUMPRODUCT(($F$26:$F$31=U$2)*($G$26:$G$31=$C$5))=1,SUMPRODUCT(($B$38:$B$43=U$2)*($C$38:$C$43=$C$5))=1,
        SUMPRODUCT(($F$38:$F$43=U$2)*($G$38:$G$43=$C$5))=1), "",휴무요일과특정일휴무!T55)</f>
        <v/>
      </c>
      <c r="V5" s="122" t="str" cm="1">
        <f t="array" ref="V5">IF(OR(SUMPRODUCT(($F$26:$F$31=V$2)*($G$26:$G$31=$C$5))=1,SUMPRODUCT(($B$38:$B$43=V$2)*($C$38:$C$43=$C$5))=1,
        SUMPRODUCT(($F$38:$F$43=V$2)*($G$38:$G$43=$C$5))=1), "",휴무요일과특정일휴무!U55)</f>
        <v/>
      </c>
      <c r="W5" s="122" t="str" cm="1">
        <f t="array" ref="W5">IF(OR(SUMPRODUCT(($F$26:$F$31=W$2)*($G$26:$G$31=$C$5))=1,SUMPRODUCT(($B$38:$B$43=W$2)*($C$38:$C$43=$C$5))=1,
        SUMPRODUCT(($F$38:$F$43=W$2)*($G$38:$G$43=$C$5))=1), "",휴무요일과특정일휴무!V55)</f>
        <v/>
      </c>
      <c r="X5" s="122" t="str" cm="1">
        <f t="array" ref="X5">IF(OR(SUMPRODUCT(($F$26:$F$31=X$2)*($G$26:$G$31=$C$5))=1,SUMPRODUCT(($B$38:$B$43=X$2)*($C$38:$C$43=$C$5))=1,
        SUMPRODUCT(($F$38:$F$43=X$2)*($G$38:$G$43=$C$5))=1), "",휴무요일과특정일휴무!W55)</f>
        <v/>
      </c>
      <c r="Y5" s="122" t="str" cm="1">
        <f t="array" ref="Y5">IF(OR(SUMPRODUCT(($F$26:$F$31=Y$2)*($G$26:$G$31=$C$5))=1,SUMPRODUCT(($B$38:$B$43=Y$2)*($C$38:$C$43=$C$5))=1,
        SUMPRODUCT(($F$38:$F$43=Y$2)*($G$38:$G$43=$C$5))=1), "",휴무요일과특정일휴무!X55)</f>
        <v/>
      </c>
      <c r="Z5" s="122" t="str" cm="1">
        <f t="array" ref="Z5">IF(OR(SUMPRODUCT(($F$26:$F$31=Z$2)*($G$26:$G$31=$C$5))=1,SUMPRODUCT(($B$38:$B$43=Z$2)*($C$38:$C$43=$C$5))=1,
        SUMPRODUCT(($F$38:$F$43=Z$2)*($G$38:$G$43=$C$5))=1), "",휴무요일과특정일휴무!Y55)</f>
        <v/>
      </c>
      <c r="AA5" s="122" t="str" cm="1">
        <f t="array" ref="AA5">IF(OR(SUMPRODUCT(($F$26:$F$31=AA$2)*($G$26:$G$31=$C$5))=1,SUMPRODUCT(($B$38:$B$43=AA$2)*($C$38:$C$43=$C$5))=1,
        SUMPRODUCT(($F$38:$F$43=AA$2)*($G$38:$G$43=$C$5))=1), "",휴무요일과특정일휴무!Z55)</f>
        <v/>
      </c>
      <c r="AB5" s="122" t="str" cm="1">
        <f t="array" ref="AB5">IF(OR(SUMPRODUCT(($F$26:$F$31=AB$2)*($G$26:$G$31=$C$5))=1,SUMPRODUCT(($B$38:$B$43=AB$2)*($C$38:$C$43=$C$5))=1,
        SUMPRODUCT(($F$38:$F$43=AB$2)*($G$38:$G$43=$C$5))=1), "",휴무요일과특정일휴무!AA55)</f>
        <v/>
      </c>
      <c r="AC5" s="122" t="str" cm="1">
        <f t="array" ref="AC5">IF(OR(SUMPRODUCT(($F$26:$F$31=AC$2)*($G$26:$G$31=$C$5))=1,SUMPRODUCT(($B$38:$B$43=AC$2)*($C$38:$C$43=$C$5))=1,
        SUMPRODUCT(($F$38:$F$43=AC$2)*($G$38:$G$43=$C$5))=1), "",휴무요일과특정일휴무!AB55)</f>
        <v/>
      </c>
      <c r="AD5" s="122" t="str" cm="1">
        <f t="array" ref="AD5">IF(OR(SUMPRODUCT(($F$26:$F$31=AD$2)*($G$26:$G$31=$C$5))=1,SUMPRODUCT(($B$38:$B$43=AD$2)*($C$38:$C$43=$C$5))=1,
        SUMPRODUCT(($F$38:$F$43=AD$2)*($G$38:$G$43=$C$5))=1), "",휴무요일과특정일휴무!AC55)</f>
        <v/>
      </c>
      <c r="AE5" s="122" t="str" cm="1">
        <f t="array" ref="AE5">IF(OR(SUMPRODUCT(($F$26:$F$31=AE$2)*($G$26:$G$31=$C$5))=1,SUMPRODUCT(($B$38:$B$43=AE$2)*($C$38:$C$43=$C$5))=1,
        SUMPRODUCT(($F$38:$F$43=AE$2)*($G$38:$G$43=$C$5))=1), "",휴무요일과특정일휴무!AD55)</f>
        <v/>
      </c>
      <c r="AF5" s="122" t="str" cm="1">
        <f t="array" ref="AF5">IF(OR(SUMPRODUCT(($F$26:$F$31=AF$2)*($G$26:$G$31=$C$5))=1,SUMPRODUCT(($B$38:$B$43=AF$2)*($C$38:$C$43=$C$5))=1,
        SUMPRODUCT(($F$38:$F$43=AF$2)*($G$38:$G$43=$C$5))=1), "",휴무요일과특정일휴무!AE55)</f>
        <v/>
      </c>
      <c r="AG5" s="122" t="str" cm="1">
        <f t="array" ref="AG5">IF(OR(SUMPRODUCT(($F$26:$F$31=AG$2)*($G$26:$G$31=$C$5))=1,SUMPRODUCT(($B$38:$B$43=AG$2)*($C$38:$C$43=$C$5))=1,
        SUMPRODUCT(($F$38:$F$43=AG$2)*($G$38:$G$43=$C$5))=1), "",휴무요일과특정일휴무!AF55)</f>
        <v/>
      </c>
      <c r="AH5" s="122" t="str" cm="1">
        <f t="array" ref="AH5">IF(OR(SUMPRODUCT(($F$26:$F$31=AH$2)*($G$26:$G$31=$C$5))=1,SUMPRODUCT(($B$38:$B$43=AH$2)*($C$38:$C$43=$C$5))=1,
        SUMPRODUCT(($F$38:$F$43=AH$2)*($G$38:$G$43=$C$5))=1), "",휴무요일과특정일휴무!AG55)</f>
        <v/>
      </c>
      <c r="AL5" s="121"/>
      <c r="AM5" s="121"/>
    </row>
    <row r="6" spans="2:39" hidden="1" x14ac:dyDescent="0.25">
      <c r="B6" s="154">
        <v>4</v>
      </c>
      <c r="C6" s="123" t="str">
        <f>이름기초!$B$14</f>
        <v>오광웅</v>
      </c>
      <c r="D6" s="122" t="str" cm="1">
        <f t="array" ref="D6">IF(OR(SUMPRODUCT(($F$26:$F$31=D$2)*($G$26:$G$31=$C$6))=1,SUMPRODUCT(($B$38:$B$43=D$2)*($C$38:$C$43=$C$6))=1,
        SUMPRODUCT(($F$38:$F$43=D$2)*($G$38:$G$43=$C$6))=1), "",휴무요일과특정일휴무!C56)</f>
        <v/>
      </c>
      <c r="E6" s="122" t="str" cm="1">
        <f t="array" ref="E6">IF(OR(SUMPRODUCT(($F$26:$F$31=E$2)*($G$26:$G$31=$C$6))=1,SUMPRODUCT(($B$38:$B$43=E$2)*($C$38:$C$43=$C$6))=1,
        SUMPRODUCT(($F$38:$F$43=E$2)*($G$38:$G$43=$C$6))=1), "",휴무요일과특정일휴무!D56)</f>
        <v/>
      </c>
      <c r="F6" s="122" t="str" cm="1">
        <f t="array" ref="F6">IF(OR(SUMPRODUCT(($F$26:$F$31=F$2)*($G$26:$G$31=$C$6))=1,SUMPRODUCT(($B$38:$B$43=F$2)*($C$38:$C$43=$C$6))=1,
        SUMPRODUCT(($F$38:$F$43=F$2)*($G$38:$G$43=$C$6))=1), "",휴무요일과특정일휴무!E56)</f>
        <v/>
      </c>
      <c r="G6" s="122" t="str" cm="1">
        <f t="array" ref="G6">IF(OR(SUMPRODUCT(($F$26:$F$31=G$2)*($G$26:$G$31=$C$6))=1,SUMPRODUCT(($B$38:$B$43=G$2)*($C$38:$C$43=$C$6))=1,
        SUMPRODUCT(($F$38:$F$43=G$2)*($G$38:$G$43=$C$6))=1), "",휴무요일과특정일휴무!F56)</f>
        <v>오광웅</v>
      </c>
      <c r="H6" s="122" t="str" cm="1">
        <f t="array" ref="H6">IF(OR(SUMPRODUCT(($F$26:$F$31=H$2)*($G$26:$G$31=$C$6))=1,SUMPRODUCT(($B$38:$B$43=H$2)*($C$38:$C$43=$C$6))=1,
        SUMPRODUCT(($F$38:$F$43=H$2)*($G$38:$G$43=$C$6))=1), "",휴무요일과특정일휴무!G56)</f>
        <v>오광웅</v>
      </c>
      <c r="I6" s="122" t="str" cm="1">
        <f t="array" ref="I6">IF(OR(SUMPRODUCT(($F$26:$F$31=I$2)*($G$26:$G$31=$C$6))=1,SUMPRODUCT(($B$38:$B$43=I$2)*($C$38:$C$43=$C$6))=1,
        SUMPRODUCT(($F$38:$F$43=I$2)*($G$38:$G$43=$C$6))=1), "",휴무요일과특정일휴무!H56)</f>
        <v>오광웅</v>
      </c>
      <c r="J6" s="122" t="str" cm="1">
        <f t="array" ref="J6">IF(OR(SUMPRODUCT(($F$26:$F$31=J$2)*($G$26:$G$31=$C$6))=1,SUMPRODUCT(($B$38:$B$43=J$2)*($C$38:$C$43=$C$6))=1,
        SUMPRODUCT(($F$38:$F$43=J$2)*($G$38:$G$43=$C$6))=1), "",휴무요일과특정일휴무!I56)</f>
        <v>오광웅</v>
      </c>
      <c r="K6" s="122" t="str" cm="1">
        <f t="array" ref="K6">IF(OR(SUMPRODUCT(($F$26:$F$31=K$2)*($G$26:$G$31=$C$6))=1,SUMPRODUCT(($B$38:$B$43=K$2)*($C$38:$C$43=$C$6))=1,
        SUMPRODUCT(($F$38:$F$43=K$2)*($G$38:$G$43=$C$6))=1), "",휴무요일과특정일휴무!J56)</f>
        <v/>
      </c>
      <c r="L6" s="122" t="str" cm="1">
        <f t="array" ref="L6">IF(OR(SUMPRODUCT(($F$26:$F$31=L$2)*($G$26:$G$31=$C$6))=1,SUMPRODUCT(($B$38:$B$43=L$2)*($C$38:$C$43=$C$6))=1,
        SUMPRODUCT(($F$38:$F$43=L$2)*($G$38:$G$43=$C$6))=1), "",휴무요일과특정일휴무!K56)</f>
        <v/>
      </c>
      <c r="M6" s="122" t="str" cm="1">
        <f t="array" ref="M6">IF(OR(SUMPRODUCT(($F$26:$F$31=M$2)*($G$26:$G$31=$C$6))=1,SUMPRODUCT(($B$38:$B$43=M$2)*($C$38:$C$43=$C$6))=1,
        SUMPRODUCT(($F$38:$F$43=M$2)*($G$38:$G$43=$C$6))=1), "",휴무요일과특정일휴무!L56)</f>
        <v/>
      </c>
      <c r="N6" s="122" t="str" cm="1">
        <f t="array" ref="N6">IF(OR(SUMPRODUCT(($F$26:$F$31=N$2)*($G$26:$G$31=$C$6))=1,SUMPRODUCT(($B$38:$B$43=N$2)*($C$38:$C$43=$C$6))=1,
        SUMPRODUCT(($F$38:$F$43=N$2)*($G$38:$G$43=$C$6))=1), "",휴무요일과특정일휴무!M56)</f>
        <v>오광웅</v>
      </c>
      <c r="O6" s="122" t="str" cm="1">
        <f t="array" ref="O6">IF(OR(SUMPRODUCT(($F$26:$F$31=O$2)*($G$26:$G$31=$C$6))=1,SUMPRODUCT(($B$38:$B$43=O$2)*($C$38:$C$43=$C$6))=1,
        SUMPRODUCT(($F$38:$F$43=O$2)*($G$38:$G$43=$C$6))=1), "",휴무요일과특정일휴무!N56)</f>
        <v>오광웅</v>
      </c>
      <c r="P6" s="122" t="str" cm="1">
        <f t="array" ref="P6">IF(OR(SUMPRODUCT(($F$26:$F$31=P$2)*($G$26:$G$31=$C$6))=1,SUMPRODUCT(($B$38:$B$43=P$2)*($C$38:$C$43=$C$6))=1,
        SUMPRODUCT(($F$38:$F$43=P$2)*($G$38:$G$43=$C$6))=1), "",휴무요일과특정일휴무!O56)</f>
        <v>오광웅</v>
      </c>
      <c r="Q6" s="122" t="str" cm="1">
        <f t="array" ref="Q6">IF(OR(SUMPRODUCT(($F$26:$F$31=Q$2)*($G$26:$G$31=$C$6))=1,SUMPRODUCT(($B$38:$B$43=Q$2)*($C$38:$C$43=$C$6))=1,
        SUMPRODUCT(($F$38:$F$43=Q$2)*($G$38:$G$43=$C$6))=1), "",휴무요일과특정일휴무!P56)</f>
        <v>오광웅</v>
      </c>
      <c r="R6" s="122" t="str" cm="1">
        <f t="array" ref="R6">IF(OR(SUMPRODUCT(($F$26:$F$31=R$2)*($G$26:$G$31=$C$6))=1,SUMPRODUCT(($B$38:$B$43=R$2)*($C$38:$C$43=$C$6))=1,
        SUMPRODUCT(($F$38:$F$43=R$2)*($G$38:$G$43=$C$6))=1), "",휴무요일과특정일휴무!Q56)</f>
        <v/>
      </c>
      <c r="S6" s="122" t="str" cm="1">
        <f t="array" ref="S6">IF(OR(SUMPRODUCT(($F$26:$F$31=S$2)*($G$26:$G$31=$C$6))=1,SUMPRODUCT(($B$38:$B$43=S$2)*($C$38:$C$43=$C$6))=1,
        SUMPRODUCT(($F$38:$F$43=S$2)*($G$38:$G$43=$C$6))=1), "",휴무요일과특정일휴무!R56)</f>
        <v/>
      </c>
      <c r="T6" s="122" t="str" cm="1">
        <f t="array" ref="T6">IF(OR(SUMPRODUCT(($F$26:$F$31=T$2)*($G$26:$G$31=$C$6))=1,SUMPRODUCT(($B$38:$B$43=T$2)*($C$38:$C$43=$C$6))=1,
        SUMPRODUCT(($F$38:$F$43=T$2)*($G$38:$G$43=$C$6))=1), "",휴무요일과특정일휴무!S56)</f>
        <v>오광웅</v>
      </c>
      <c r="U6" s="122" t="str" cm="1">
        <f t="array" ref="U6">IF(OR(SUMPRODUCT(($F$26:$F$31=U$2)*($G$26:$G$31=$C$6))=1,SUMPRODUCT(($B$38:$B$43=U$2)*($C$38:$C$43=$C$6))=1,
        SUMPRODUCT(($F$38:$F$43=U$2)*($G$38:$G$43=$C$6))=1), "",휴무요일과특정일휴무!T56)</f>
        <v/>
      </c>
      <c r="V6" s="122" t="str" cm="1">
        <f t="array" ref="V6">IF(OR(SUMPRODUCT(($F$26:$F$31=V$2)*($G$26:$G$31=$C$6))=1,SUMPRODUCT(($B$38:$B$43=V$2)*($C$38:$C$43=$C$6))=1,
        SUMPRODUCT(($F$38:$F$43=V$2)*($G$38:$G$43=$C$6))=1), "",휴무요일과특정일휴무!U56)</f>
        <v/>
      </c>
      <c r="W6" s="122" t="str" cm="1">
        <f t="array" ref="W6">IF(OR(SUMPRODUCT(($F$26:$F$31=W$2)*($G$26:$G$31=$C$6))=1,SUMPRODUCT(($B$38:$B$43=W$2)*($C$38:$C$43=$C$6))=1,
        SUMPRODUCT(($F$38:$F$43=W$2)*($G$38:$G$43=$C$6))=1), "",휴무요일과특정일휴무!V56)</f>
        <v>오광웅</v>
      </c>
      <c r="X6" s="122" t="str" cm="1">
        <f t="array" ref="X6">IF(OR(SUMPRODUCT(($F$26:$F$31=X$2)*($G$26:$G$31=$C$6))=1,SUMPRODUCT(($B$38:$B$43=X$2)*($C$38:$C$43=$C$6))=1,
        SUMPRODUCT(($F$38:$F$43=X$2)*($G$38:$G$43=$C$6))=1), "",휴무요일과특정일휴무!W56)</f>
        <v>오광웅</v>
      </c>
      <c r="Y6" s="122" t="str" cm="1">
        <f t="array" ref="Y6">IF(OR(SUMPRODUCT(($F$26:$F$31=Y$2)*($G$26:$G$31=$C$6))=1,SUMPRODUCT(($B$38:$B$43=Y$2)*($C$38:$C$43=$C$6))=1,
        SUMPRODUCT(($F$38:$F$43=Y$2)*($G$38:$G$43=$C$6))=1), "",휴무요일과특정일휴무!X56)</f>
        <v/>
      </c>
      <c r="Z6" s="122" t="str" cm="1">
        <f t="array" ref="Z6">IF(OR(SUMPRODUCT(($F$26:$F$31=Z$2)*($G$26:$G$31=$C$6))=1,SUMPRODUCT(($B$38:$B$43=Z$2)*($C$38:$C$43=$C$6))=1,
        SUMPRODUCT(($F$38:$F$43=Z$2)*($G$38:$G$43=$C$6))=1), "",휴무요일과특정일휴무!Y56)</f>
        <v/>
      </c>
      <c r="AA6" s="122" t="str" cm="1">
        <f t="array" ref="AA6">IF(OR(SUMPRODUCT(($F$26:$F$31=AA$2)*($G$26:$G$31=$C$6))=1,SUMPRODUCT(($B$38:$B$43=AA$2)*($C$38:$C$43=$C$6))=1,
        SUMPRODUCT(($F$38:$F$43=AA$2)*($G$38:$G$43=$C$6))=1), "",휴무요일과특정일휴무!Z56)</f>
        <v/>
      </c>
      <c r="AB6" s="122" t="str" cm="1">
        <f t="array" ref="AB6">IF(OR(SUMPRODUCT(($F$26:$F$31=AB$2)*($G$26:$G$31=$C$6))=1,SUMPRODUCT(($B$38:$B$43=AB$2)*($C$38:$C$43=$C$6))=1,
        SUMPRODUCT(($F$38:$F$43=AB$2)*($G$38:$G$43=$C$6))=1), "",휴무요일과특정일휴무!AA56)</f>
        <v>오광웅</v>
      </c>
      <c r="AC6" s="122" t="str" cm="1">
        <f t="array" ref="AC6">IF(OR(SUMPRODUCT(($F$26:$F$31=AC$2)*($G$26:$G$31=$C$6))=1,SUMPRODUCT(($B$38:$B$43=AC$2)*($C$38:$C$43=$C$6))=1,
        SUMPRODUCT(($F$38:$F$43=AC$2)*($G$38:$G$43=$C$6))=1), "",휴무요일과특정일휴무!AB56)</f>
        <v>오광웅</v>
      </c>
      <c r="AD6" s="122" t="str" cm="1">
        <f t="array" ref="AD6">IF(OR(SUMPRODUCT(($F$26:$F$31=AD$2)*($G$26:$G$31=$C$6))=1,SUMPRODUCT(($B$38:$B$43=AD$2)*($C$38:$C$43=$C$6))=1,
        SUMPRODUCT(($F$38:$F$43=AD$2)*($G$38:$G$43=$C$6))=1), "",휴무요일과특정일휴무!AC56)</f>
        <v>오광웅</v>
      </c>
      <c r="AE6" s="122" t="str" cm="1">
        <f t="array" ref="AE6">IF(OR(SUMPRODUCT(($F$26:$F$31=AE$2)*($G$26:$G$31=$C$6))=1,SUMPRODUCT(($B$38:$B$43=AE$2)*($C$38:$C$43=$C$6))=1,
        SUMPRODUCT(($F$38:$F$43=AE$2)*($G$38:$G$43=$C$6))=1), "",휴무요일과특정일휴무!AD56)</f>
        <v>오광웅</v>
      </c>
      <c r="AF6" s="122" t="str" cm="1">
        <f t="array" ref="AF6">IF(OR(SUMPRODUCT(($F$26:$F$31=AF$2)*($G$26:$G$31=$C$6))=1,SUMPRODUCT(($B$38:$B$43=AF$2)*($C$38:$C$43=$C$6))=1,
        SUMPRODUCT(($F$38:$F$43=AF$2)*($G$38:$G$43=$C$6))=1), "",휴무요일과특정일휴무!AE56)</f>
        <v/>
      </c>
      <c r="AG6" s="122" t="str" cm="1">
        <f t="array" ref="AG6">IF(OR(SUMPRODUCT(($F$26:$F$31=AG$2)*($G$26:$G$31=$C$6))=1,SUMPRODUCT(($B$38:$B$43=AG$2)*($C$38:$C$43=$C$6))=1,
        SUMPRODUCT(($F$38:$F$43=AG$2)*($G$38:$G$43=$C$6))=1), "",휴무요일과특정일휴무!AF56)</f>
        <v/>
      </c>
      <c r="AH6" s="122" t="str" cm="1">
        <f t="array" ref="AH6">IF(OR(SUMPRODUCT(($F$26:$F$31=AH$2)*($G$26:$G$31=$C$6))=1,SUMPRODUCT(($B$38:$B$43=AH$2)*($C$38:$C$43=$C$6))=1,
        SUMPRODUCT(($F$38:$F$43=AH$2)*($G$38:$G$43=$C$6))=1), "",휴무요일과특정일휴무!AG56)</f>
        <v/>
      </c>
      <c r="AL6" s="128"/>
      <c r="AM6" s="128"/>
    </row>
    <row r="7" spans="2:39" hidden="1" x14ac:dyDescent="0.25">
      <c r="B7" s="154">
        <v>5</v>
      </c>
      <c r="C7" s="123" t="str">
        <f>이름기초!B15</f>
        <v>안성용</v>
      </c>
      <c r="D7" s="122" t="str" cm="1">
        <f t="array" ref="D7">IF(OR(SUMPRODUCT(($F$26:$F$31=D$2)*($G$26:$G$31=$C$7))=1,SUMPRODUCT(($B$38:$B$43=D$2)*($C$38:$C$43=$C$7))=1,
        SUMPRODUCT(($F$38:$F$43=D$2)*($G$38:$G$43=$C$7))=1), "",휴무요일과특정일휴무!C57)</f>
        <v/>
      </c>
      <c r="E7" s="122" t="str" cm="1">
        <f t="array" ref="E7">IF(OR(SUMPRODUCT(($F$26:$F$31=E$2)*($G$26:$G$31=$C$7))=1,SUMPRODUCT(($B$38:$B$43=E$2)*($C$38:$C$43=$C$7))=1,
        SUMPRODUCT(($F$38:$F$43=E$2)*($G$38:$G$43=$C$7))=1), "",휴무요일과특정일휴무!D57)</f>
        <v/>
      </c>
      <c r="F7" s="122" t="str" cm="1">
        <f t="array" ref="F7">IF(OR(SUMPRODUCT(($F$26:$F$31=F$2)*($G$26:$G$31=$C$7))=1,SUMPRODUCT(($B$38:$B$43=F$2)*($C$38:$C$43=$C$7))=1,
        SUMPRODUCT(($F$38:$F$43=F$2)*($G$38:$G$43=$C$7))=1), "",휴무요일과특정일휴무!E57)</f>
        <v>안성용</v>
      </c>
      <c r="G7" s="122" t="str" cm="1">
        <f t="array" ref="G7">IF(OR(SUMPRODUCT(($F$26:$F$31=G$2)*($G$26:$G$31=$C$7))=1,SUMPRODUCT(($B$38:$B$43=G$2)*($C$38:$C$43=$C$7))=1,
        SUMPRODUCT(($F$38:$F$43=G$2)*($G$38:$G$43=$C$7))=1), "",휴무요일과특정일휴무!F57)</f>
        <v>안성용</v>
      </c>
      <c r="H7" s="122" t="str" cm="1">
        <f t="array" ref="H7">IF(OR(SUMPRODUCT(($F$26:$F$31=H$2)*($G$26:$G$31=$C$7))=1,SUMPRODUCT(($B$38:$B$43=H$2)*($C$38:$C$43=$C$7))=1,
        SUMPRODUCT(($F$38:$F$43=H$2)*($G$38:$G$43=$C$7))=1), "",휴무요일과특정일휴무!G57)</f>
        <v>안성용</v>
      </c>
      <c r="I7" s="122" t="str" cm="1">
        <f t="array" ref="I7">IF(OR(SUMPRODUCT(($F$26:$F$31=I$2)*($G$26:$G$31=$C$7))=1,SUMPRODUCT(($B$38:$B$43=I$2)*($C$38:$C$43=$C$7))=1,
        SUMPRODUCT(($F$38:$F$43=I$2)*($G$38:$G$43=$C$7))=1), "",휴무요일과특정일휴무!H57)</f>
        <v>안성용</v>
      </c>
      <c r="J7" s="122" t="str" cm="1">
        <f t="array" ref="J7">IF(OR(SUMPRODUCT(($F$26:$F$31=J$2)*($G$26:$G$31=$C$7))=1,SUMPRODUCT(($B$38:$B$43=J$2)*($C$38:$C$43=$C$7))=1,
        SUMPRODUCT(($F$38:$F$43=J$2)*($G$38:$G$43=$C$7))=1), "",휴무요일과특정일휴무!I57)</f>
        <v/>
      </c>
      <c r="K7" s="122" t="str" cm="1">
        <f t="array" ref="K7">IF(OR(SUMPRODUCT(($F$26:$F$31=K$2)*($G$26:$G$31=$C$7))=1,SUMPRODUCT(($B$38:$B$43=K$2)*($C$38:$C$43=$C$7))=1,
        SUMPRODUCT(($F$38:$F$43=K$2)*($G$38:$G$43=$C$7))=1), "",휴무요일과특정일휴무!J57)</f>
        <v/>
      </c>
      <c r="L7" s="122" t="str" cm="1">
        <f t="array" ref="L7">IF(OR(SUMPRODUCT(($F$26:$F$31=L$2)*($G$26:$G$31=$C$7))=1,SUMPRODUCT(($B$38:$B$43=L$2)*($C$38:$C$43=$C$7))=1,
        SUMPRODUCT(($F$38:$F$43=L$2)*($G$38:$G$43=$C$7))=1), "",휴무요일과특정일휴무!K57)</f>
        <v/>
      </c>
      <c r="M7" s="122" t="str" cm="1">
        <f t="array" ref="M7">IF(OR(SUMPRODUCT(($F$26:$F$31=M$2)*($G$26:$G$31=$C$7))=1,SUMPRODUCT(($B$38:$B$43=M$2)*($C$38:$C$43=$C$7))=1,
        SUMPRODUCT(($F$38:$F$43=M$2)*($G$38:$G$43=$C$7))=1), "",휴무요일과특정일휴무!L57)</f>
        <v>안성용</v>
      </c>
      <c r="N7" s="122" t="str" cm="1">
        <f t="array" ref="N7">IF(OR(SUMPRODUCT(($F$26:$F$31=N$2)*($G$26:$G$31=$C$7))=1,SUMPRODUCT(($B$38:$B$43=N$2)*($C$38:$C$43=$C$7))=1,
        SUMPRODUCT(($F$38:$F$43=N$2)*($G$38:$G$43=$C$7))=1), "",휴무요일과특정일휴무!M57)</f>
        <v>안성용</v>
      </c>
      <c r="O7" s="122" t="str" cm="1">
        <f t="array" ref="O7">IF(OR(SUMPRODUCT(($F$26:$F$31=O$2)*($G$26:$G$31=$C$7))=1,SUMPRODUCT(($B$38:$B$43=O$2)*($C$38:$C$43=$C$7))=1,
        SUMPRODUCT(($F$38:$F$43=O$2)*($G$38:$G$43=$C$7))=1), "",휴무요일과특정일휴무!N57)</f>
        <v>안성용</v>
      </c>
      <c r="P7" s="122" t="str" cm="1">
        <f t="array" ref="P7">IF(OR(SUMPRODUCT(($F$26:$F$31=P$2)*($G$26:$G$31=$C$7))=1,SUMPRODUCT(($B$38:$B$43=P$2)*($C$38:$C$43=$C$7))=1,
        SUMPRODUCT(($F$38:$F$43=P$2)*($G$38:$G$43=$C$7))=1), "",휴무요일과특정일휴무!O57)</f>
        <v>안성용</v>
      </c>
      <c r="Q7" s="122" t="str" cm="1">
        <f t="array" ref="Q7">IF(OR(SUMPRODUCT(($F$26:$F$31=Q$2)*($G$26:$G$31=$C$7))=1,SUMPRODUCT(($B$38:$B$43=Q$2)*($C$38:$C$43=$C$7))=1,
        SUMPRODUCT(($F$38:$F$43=Q$2)*($G$38:$G$43=$C$7))=1), "",휴무요일과특정일휴무!P57)</f>
        <v>안성용</v>
      </c>
      <c r="R7" s="122" t="str" cm="1">
        <f t="array" ref="R7">IF(OR(SUMPRODUCT(($F$26:$F$31=R$2)*($G$26:$G$31=$C$7))=1,SUMPRODUCT(($B$38:$B$43=R$2)*($C$38:$C$43=$C$7))=1,
        SUMPRODUCT(($F$38:$F$43=R$2)*($G$38:$G$43=$C$7))=1), "",휴무요일과특정일휴무!Q57)</f>
        <v/>
      </c>
      <c r="S7" s="122" t="str" cm="1">
        <f t="array" ref="S7">IF(OR(SUMPRODUCT(($F$26:$F$31=S$2)*($G$26:$G$31=$C$7))=1,SUMPRODUCT(($B$38:$B$43=S$2)*($C$38:$C$43=$C$7))=1,
        SUMPRODUCT(($F$38:$F$43=S$2)*($G$38:$G$43=$C$7))=1), "",휴무요일과특정일휴무!R57)</f>
        <v/>
      </c>
      <c r="T7" s="122" t="str" cm="1">
        <f t="array" ref="T7">IF(OR(SUMPRODUCT(($F$26:$F$31=T$2)*($G$26:$G$31=$C$7))=1,SUMPRODUCT(($B$38:$B$43=T$2)*($C$38:$C$43=$C$7))=1,
        SUMPRODUCT(($F$38:$F$43=T$2)*($G$38:$G$43=$C$7))=1), "",휴무요일과특정일휴무!S57)</f>
        <v>안성용</v>
      </c>
      <c r="U7" s="122" t="str" cm="1">
        <f t="array" ref="U7">IF(OR(SUMPRODUCT(($F$26:$F$31=U$2)*($G$26:$G$31=$C$7))=1,SUMPRODUCT(($B$38:$B$43=U$2)*($C$38:$C$43=$C$7))=1,
        SUMPRODUCT(($F$38:$F$43=U$2)*($G$38:$G$43=$C$7))=1), "",휴무요일과특정일휴무!T57)</f>
        <v>안성용</v>
      </c>
      <c r="V7" s="122" t="str" cm="1">
        <f t="array" ref="V7">IF(OR(SUMPRODUCT(($F$26:$F$31=V$2)*($G$26:$G$31=$C$7))=1,SUMPRODUCT(($B$38:$B$43=V$2)*($C$38:$C$43=$C$7))=1,
        SUMPRODUCT(($F$38:$F$43=V$2)*($G$38:$G$43=$C$7))=1), "",휴무요일과특정일휴무!U57)</f>
        <v>안성용</v>
      </c>
      <c r="W7" s="122" t="str" cm="1">
        <f t="array" ref="W7">IF(OR(SUMPRODUCT(($F$26:$F$31=W$2)*($G$26:$G$31=$C$7))=1,SUMPRODUCT(($B$38:$B$43=W$2)*($C$38:$C$43=$C$7))=1,
        SUMPRODUCT(($F$38:$F$43=W$2)*($G$38:$G$43=$C$7))=1), "",휴무요일과특정일휴무!V57)</f>
        <v>안성용</v>
      </c>
      <c r="X7" s="122" t="str" cm="1">
        <f t="array" ref="X7">IF(OR(SUMPRODUCT(($F$26:$F$31=X$2)*($G$26:$G$31=$C$7))=1,SUMPRODUCT(($B$38:$B$43=X$2)*($C$38:$C$43=$C$7))=1,
        SUMPRODUCT(($F$38:$F$43=X$2)*($G$38:$G$43=$C$7))=1), "",휴무요일과특정일휴무!W57)</f>
        <v>안성용</v>
      </c>
      <c r="Y7" s="122" t="str" cm="1">
        <f t="array" ref="Y7">IF(OR(SUMPRODUCT(($F$26:$F$31=Y$2)*($G$26:$G$31=$C$7))=1,SUMPRODUCT(($B$38:$B$43=Y$2)*($C$38:$C$43=$C$7))=1,
        SUMPRODUCT(($F$38:$F$43=Y$2)*($G$38:$G$43=$C$7))=1), "",휴무요일과특정일휴무!X57)</f>
        <v/>
      </c>
      <c r="Z7" s="122" t="str" cm="1">
        <f t="array" ref="Z7">IF(OR(SUMPRODUCT(($F$26:$F$31=Z$2)*($G$26:$G$31=$C$7))=1,SUMPRODUCT(($B$38:$B$43=Z$2)*($C$38:$C$43=$C$7))=1,
        SUMPRODUCT(($F$38:$F$43=Z$2)*($G$38:$G$43=$C$7))=1), "",휴무요일과특정일휴무!Y57)</f>
        <v/>
      </c>
      <c r="AA7" s="122" t="str" cm="1">
        <f t="array" ref="AA7">IF(OR(SUMPRODUCT(($F$26:$F$31=AA$2)*($G$26:$G$31=$C$7))=1,SUMPRODUCT(($B$38:$B$43=AA$2)*($C$38:$C$43=$C$7))=1,
        SUMPRODUCT(($F$38:$F$43=AA$2)*($G$38:$G$43=$C$7))=1), "",휴무요일과특정일휴무!Z57)</f>
        <v>안성용</v>
      </c>
      <c r="AB7" s="122" t="str" cm="1">
        <f t="array" ref="AB7">IF(OR(SUMPRODUCT(($F$26:$F$31=AB$2)*($G$26:$G$31=$C$7))=1,SUMPRODUCT(($B$38:$B$43=AB$2)*($C$38:$C$43=$C$7))=1,
        SUMPRODUCT(($F$38:$F$43=AB$2)*($G$38:$G$43=$C$7))=1), "",휴무요일과특정일휴무!AA57)</f>
        <v>안성용</v>
      </c>
      <c r="AC7" s="122" t="str" cm="1">
        <f t="array" ref="AC7">IF(OR(SUMPRODUCT(($F$26:$F$31=AC$2)*($G$26:$G$31=$C$7))=1,SUMPRODUCT(($B$38:$B$43=AC$2)*($C$38:$C$43=$C$7))=1,
        SUMPRODUCT(($F$38:$F$43=AC$2)*($G$38:$G$43=$C$7))=1), "",휴무요일과특정일휴무!AB57)</f>
        <v>안성용</v>
      </c>
      <c r="AD7" s="122" t="str" cm="1">
        <f t="array" ref="AD7">IF(OR(SUMPRODUCT(($F$26:$F$31=AD$2)*($G$26:$G$31=$C$7))=1,SUMPRODUCT(($B$38:$B$43=AD$2)*($C$38:$C$43=$C$7))=1,
        SUMPRODUCT(($F$38:$F$43=AD$2)*($G$38:$G$43=$C$7))=1), "",휴무요일과특정일휴무!AC57)</f>
        <v>안성용</v>
      </c>
      <c r="AE7" s="122" t="str" cm="1">
        <f t="array" ref="AE7">IF(OR(SUMPRODUCT(($F$26:$F$31=AE$2)*($G$26:$G$31=$C$7))=1,SUMPRODUCT(($B$38:$B$43=AE$2)*($C$38:$C$43=$C$7))=1,
        SUMPRODUCT(($F$38:$F$43=AE$2)*($G$38:$G$43=$C$7))=1), "",휴무요일과특정일휴무!AD57)</f>
        <v>안성용</v>
      </c>
      <c r="AF7" s="122" t="str" cm="1">
        <f t="array" ref="AF7">IF(OR(SUMPRODUCT(($F$26:$F$31=AF$2)*($G$26:$G$31=$C$7))=1,SUMPRODUCT(($B$38:$B$43=AF$2)*($C$38:$C$43=$C$7))=1,
        SUMPRODUCT(($F$38:$F$43=AF$2)*($G$38:$G$43=$C$7))=1), "",휴무요일과특정일휴무!AE57)</f>
        <v/>
      </c>
      <c r="AG7" s="122" t="str" cm="1">
        <f t="array" ref="AG7">IF(OR(SUMPRODUCT(($F$26:$F$31=AG$2)*($G$26:$G$31=$C$7))=1,SUMPRODUCT(($B$38:$B$43=AG$2)*($C$38:$C$43=$C$7))=1,
        SUMPRODUCT(($F$38:$F$43=AG$2)*($G$38:$G$43=$C$7))=1), "",휴무요일과특정일휴무!AF57)</f>
        <v/>
      </c>
      <c r="AH7" s="122" t="str" cm="1">
        <f t="array" ref="AH7">IF(OR(SUMPRODUCT(($F$26:$F$31=AH$2)*($G$26:$G$31=$C$7))=1,SUMPRODUCT(($B$38:$B$43=AH$2)*($C$38:$C$43=$C$7))=1,
        SUMPRODUCT(($F$38:$F$43=AH$2)*($G$38:$G$43=$C$7))=1), "",휴무요일과특정일휴무!AG57)</f>
        <v>안성용</v>
      </c>
      <c r="AL7" s="121"/>
      <c r="AM7" s="121"/>
    </row>
    <row r="8" spans="2:39" hidden="1" x14ac:dyDescent="0.25">
      <c r="B8" s="154">
        <v>6</v>
      </c>
      <c r="C8" s="123" t="str">
        <f>이름기초!$B$16</f>
        <v>신대진</v>
      </c>
      <c r="D8" s="122" t="str" cm="1">
        <f t="array" ref="D8">IF(OR(SUMPRODUCT(($F$26:$F$31=D$2)*($G$26:$G$31=$C$8))=1,SUMPRODUCT(($B$38:$B$43=D$2)*($C$38:$C$43=$C$8))=1,
        SUMPRODUCT(($F$38:$F$43=D$2)*($G$38:$G$43=$C$8))=1), "",휴무요일과특정일휴무!C58)</f>
        <v>신대진</v>
      </c>
      <c r="E8" s="122" t="str" cm="1">
        <f t="array" ref="E8">IF(OR(SUMPRODUCT(($F$26:$F$31=E$2)*($G$26:$G$31=$C$8))=1,SUMPRODUCT(($B$38:$B$43=E$2)*($C$38:$C$43=$C$8))=1,
        SUMPRODUCT(($F$38:$F$43=E$2)*($G$38:$G$43=$C$8))=1), "",휴무요일과특정일휴무!D58)</f>
        <v>신대진</v>
      </c>
      <c r="F8" s="122" t="str" cm="1">
        <f t="array" ref="F8">IF(OR(SUMPRODUCT(($F$26:$F$31=F$2)*($G$26:$G$31=$C$8))=1,SUMPRODUCT(($B$38:$B$43=F$2)*($C$38:$C$43=$C$8))=1,
        SUMPRODUCT(($F$38:$F$43=F$2)*($G$38:$G$43=$C$8))=1), "",휴무요일과특정일휴무!E58)</f>
        <v>신대진</v>
      </c>
      <c r="G8" s="122" t="str" cm="1">
        <f t="array" ref="G8">IF(OR(SUMPRODUCT(($F$26:$F$31=G$2)*($G$26:$G$31=$C$8))=1,SUMPRODUCT(($B$38:$B$43=G$2)*($C$38:$C$43=$C$8))=1,
        SUMPRODUCT(($F$38:$F$43=G$2)*($G$38:$G$43=$C$8))=1), "",휴무요일과특정일휴무!F58)</f>
        <v>신대진</v>
      </c>
      <c r="H8" s="122" t="str" cm="1">
        <f t="array" ref="H8">IF(OR(SUMPRODUCT(($F$26:$F$31=H$2)*($G$26:$G$31=$C$8))=1,SUMPRODUCT(($B$38:$B$43=H$2)*($C$38:$C$43=$C$8))=1,
        SUMPRODUCT(($F$38:$F$43=H$2)*($G$38:$G$43=$C$8))=1), "",휴무요일과특정일휴무!G58)</f>
        <v>신대진</v>
      </c>
      <c r="I8" s="122" t="str" cm="1">
        <f t="array" ref="I8">IF(OR(SUMPRODUCT(($F$26:$F$31=I$2)*($G$26:$G$31=$C$8))=1,SUMPRODUCT(($B$38:$B$43=I$2)*($C$38:$C$43=$C$8))=1,
        SUMPRODUCT(($F$38:$F$43=I$2)*($G$38:$G$43=$C$8))=1), "",휴무요일과특정일휴무!H58)</f>
        <v>신대진</v>
      </c>
      <c r="J8" s="122" t="str" cm="1">
        <f t="array" ref="J8">IF(OR(SUMPRODUCT(($F$26:$F$31=J$2)*($G$26:$G$31=$C$8))=1,SUMPRODUCT(($B$38:$B$43=J$2)*($C$38:$C$43=$C$8))=1,
        SUMPRODUCT(($F$38:$F$43=J$2)*($G$38:$G$43=$C$8))=1), "",휴무요일과특정일휴무!I58)</f>
        <v>신대진</v>
      </c>
      <c r="K8" s="122" t="str" cm="1">
        <f t="array" ref="K8">IF(OR(SUMPRODUCT(($F$26:$F$31=K$2)*($G$26:$G$31=$C$8))=1,SUMPRODUCT(($B$38:$B$43=K$2)*($C$38:$C$43=$C$8))=1,
        SUMPRODUCT(($F$38:$F$43=K$2)*($G$38:$G$43=$C$8))=1), "",휴무요일과특정일휴무!J58)</f>
        <v>신대진</v>
      </c>
      <c r="L8" s="122" t="str" cm="1">
        <f t="array" ref="L8">IF(OR(SUMPRODUCT(($F$26:$F$31=L$2)*($G$26:$G$31=$C$8))=1,SUMPRODUCT(($B$38:$B$43=L$2)*($C$38:$C$43=$C$8))=1,
        SUMPRODUCT(($F$38:$F$43=L$2)*($G$38:$G$43=$C$8))=1), "",휴무요일과특정일휴무!K58)</f>
        <v>신대진</v>
      </c>
      <c r="M8" s="122" t="str" cm="1">
        <f t="array" ref="M8">IF(OR(SUMPRODUCT(($F$26:$F$31=M$2)*($G$26:$G$31=$C$8))=1,SUMPRODUCT(($B$38:$B$43=M$2)*($C$38:$C$43=$C$8))=1,
        SUMPRODUCT(($F$38:$F$43=M$2)*($G$38:$G$43=$C$8))=1), "",휴무요일과특정일휴무!L58)</f>
        <v>신대진</v>
      </c>
      <c r="N8" s="122" t="str" cm="1">
        <f t="array" ref="N8">IF(OR(SUMPRODUCT(($F$26:$F$31=N$2)*($G$26:$G$31=$C$8))=1,SUMPRODUCT(($B$38:$B$43=N$2)*($C$38:$C$43=$C$8))=1,
        SUMPRODUCT(($F$38:$F$43=N$2)*($G$38:$G$43=$C$8))=1), "",휴무요일과특정일휴무!M58)</f>
        <v>신대진</v>
      </c>
      <c r="O8" s="122" t="str" cm="1">
        <f t="array" ref="O8">IF(OR(SUMPRODUCT(($F$26:$F$31=O$2)*($G$26:$G$31=$C$8))=1,SUMPRODUCT(($B$38:$B$43=O$2)*($C$38:$C$43=$C$8))=1,
        SUMPRODUCT(($F$38:$F$43=O$2)*($G$38:$G$43=$C$8))=1), "",휴무요일과특정일휴무!N58)</f>
        <v>신대진</v>
      </c>
      <c r="P8" s="122" t="str" cm="1">
        <f t="array" ref="P8">IF(OR(SUMPRODUCT(($F$26:$F$31=P$2)*($G$26:$G$31=$C$8))=1,SUMPRODUCT(($B$38:$B$43=P$2)*($C$38:$C$43=$C$8))=1,
        SUMPRODUCT(($F$38:$F$43=P$2)*($G$38:$G$43=$C$8))=1), "",휴무요일과특정일휴무!O58)</f>
        <v>신대진</v>
      </c>
      <c r="Q8" s="122" t="str" cm="1">
        <f t="array" ref="Q8">IF(OR(SUMPRODUCT(($F$26:$F$31=Q$2)*($G$26:$G$31=$C$8))=1,SUMPRODUCT(($B$38:$B$43=Q$2)*($C$38:$C$43=$C$8))=1,
        SUMPRODUCT(($F$38:$F$43=Q$2)*($G$38:$G$43=$C$8))=1), "",휴무요일과특정일휴무!P58)</f>
        <v>신대진</v>
      </c>
      <c r="R8" s="122" t="str" cm="1">
        <f t="array" ref="R8">IF(OR(SUMPRODUCT(($F$26:$F$31=R$2)*($G$26:$G$31=$C$8))=1,SUMPRODUCT(($B$38:$B$43=R$2)*($C$38:$C$43=$C$8))=1,
        SUMPRODUCT(($F$38:$F$43=R$2)*($G$38:$G$43=$C$8))=1), "",휴무요일과특정일휴무!Q58)</f>
        <v>신대진</v>
      </c>
      <c r="S8" s="122" t="str" cm="1">
        <f t="array" ref="S8">IF(OR(SUMPRODUCT(($F$26:$F$31=S$2)*($G$26:$G$31=$C$8))=1,SUMPRODUCT(($B$38:$B$43=S$2)*($C$38:$C$43=$C$8))=1,
        SUMPRODUCT(($F$38:$F$43=S$2)*($G$38:$G$43=$C$8))=1), "",휴무요일과특정일휴무!R58)</f>
        <v>신대진</v>
      </c>
      <c r="T8" s="122" t="str" cm="1">
        <f t="array" ref="T8">IF(OR(SUMPRODUCT(($F$26:$F$31=T$2)*($G$26:$G$31=$C$8))=1,SUMPRODUCT(($B$38:$B$43=T$2)*($C$38:$C$43=$C$8))=1,
        SUMPRODUCT(($F$38:$F$43=T$2)*($G$38:$G$43=$C$8))=1), "",휴무요일과특정일휴무!S58)</f>
        <v>신대진</v>
      </c>
      <c r="U8" s="122" t="str" cm="1">
        <f t="array" ref="U8">IF(OR(SUMPRODUCT(($F$26:$F$31=U$2)*($G$26:$G$31=$C$8))=1,SUMPRODUCT(($B$38:$B$43=U$2)*($C$38:$C$43=$C$8))=1,
        SUMPRODUCT(($F$38:$F$43=U$2)*($G$38:$G$43=$C$8))=1), "",휴무요일과특정일휴무!T58)</f>
        <v>신대진</v>
      </c>
      <c r="V8" s="122" t="str" cm="1">
        <f t="array" ref="V8">IF(OR(SUMPRODUCT(($F$26:$F$31=V$2)*($G$26:$G$31=$C$8))=1,SUMPRODUCT(($B$38:$B$43=V$2)*($C$38:$C$43=$C$8))=1,
        SUMPRODUCT(($F$38:$F$43=V$2)*($G$38:$G$43=$C$8))=1), "",휴무요일과특정일휴무!U58)</f>
        <v>신대진</v>
      </c>
      <c r="W8" s="122" t="str" cm="1">
        <f t="array" ref="W8">IF(OR(SUMPRODUCT(($F$26:$F$31=W$2)*($G$26:$G$31=$C$8))=1,SUMPRODUCT(($B$38:$B$43=W$2)*($C$38:$C$43=$C$8))=1,
        SUMPRODUCT(($F$38:$F$43=W$2)*($G$38:$G$43=$C$8))=1), "",휴무요일과특정일휴무!V58)</f>
        <v>신대진</v>
      </c>
      <c r="X8" s="122" t="str" cm="1">
        <f t="array" ref="X8">IF(OR(SUMPRODUCT(($F$26:$F$31=X$2)*($G$26:$G$31=$C$8))=1,SUMPRODUCT(($B$38:$B$43=X$2)*($C$38:$C$43=$C$8))=1,
        SUMPRODUCT(($F$38:$F$43=X$2)*($G$38:$G$43=$C$8))=1), "",휴무요일과특정일휴무!W58)</f>
        <v>신대진</v>
      </c>
      <c r="Y8" s="122" t="str" cm="1">
        <f t="array" ref="Y8">IF(OR(SUMPRODUCT(($F$26:$F$31=Y$2)*($G$26:$G$31=$C$8))=1,SUMPRODUCT(($B$38:$B$43=Y$2)*($C$38:$C$43=$C$8))=1,
        SUMPRODUCT(($F$38:$F$43=Y$2)*($G$38:$G$43=$C$8))=1), "",휴무요일과특정일휴무!X58)</f>
        <v>신대진</v>
      </c>
      <c r="Z8" s="122" t="str" cm="1">
        <f t="array" ref="Z8">IF(OR(SUMPRODUCT(($F$26:$F$31=Z$2)*($G$26:$G$31=$C$8))=1,SUMPRODUCT(($B$38:$B$43=Z$2)*($C$38:$C$43=$C$8))=1,
        SUMPRODUCT(($F$38:$F$43=Z$2)*($G$38:$G$43=$C$8))=1), "",휴무요일과특정일휴무!Y58)</f>
        <v>신대진</v>
      </c>
      <c r="AA8" s="122" t="str" cm="1">
        <f t="array" ref="AA8">IF(OR(SUMPRODUCT(($F$26:$F$31=AA$2)*($G$26:$G$31=$C$8))=1,SUMPRODUCT(($B$38:$B$43=AA$2)*($C$38:$C$43=$C$8))=1,
        SUMPRODUCT(($F$38:$F$43=AA$2)*($G$38:$G$43=$C$8))=1), "",휴무요일과특정일휴무!Z58)</f>
        <v>신대진</v>
      </c>
      <c r="AB8" s="122" t="str" cm="1">
        <f t="array" ref="AB8">IF(OR(SUMPRODUCT(($F$26:$F$31=AB$2)*($G$26:$G$31=$C$8))=1,SUMPRODUCT(($B$38:$B$43=AB$2)*($C$38:$C$43=$C$8))=1,
        SUMPRODUCT(($F$38:$F$43=AB$2)*($G$38:$G$43=$C$8))=1), "",휴무요일과특정일휴무!AA58)</f>
        <v>신대진</v>
      </c>
      <c r="AC8" s="122" t="str" cm="1">
        <f t="array" ref="AC8">IF(OR(SUMPRODUCT(($F$26:$F$31=AC$2)*($G$26:$G$31=$C$8))=1,SUMPRODUCT(($B$38:$B$43=AC$2)*($C$38:$C$43=$C$8))=1,
        SUMPRODUCT(($F$38:$F$43=AC$2)*($G$38:$G$43=$C$8))=1), "",휴무요일과특정일휴무!AB58)</f>
        <v>신대진</v>
      </c>
      <c r="AD8" s="122" t="str" cm="1">
        <f t="array" ref="AD8">IF(OR(SUMPRODUCT(($F$26:$F$31=AD$2)*($G$26:$G$31=$C$8))=1,SUMPRODUCT(($B$38:$B$43=AD$2)*($C$38:$C$43=$C$8))=1,
        SUMPRODUCT(($F$38:$F$43=AD$2)*($G$38:$G$43=$C$8))=1), "",휴무요일과특정일휴무!AC58)</f>
        <v>신대진</v>
      </c>
      <c r="AE8" s="122" t="str" cm="1">
        <f t="array" ref="AE8">IF(OR(SUMPRODUCT(($F$26:$F$31=AE$2)*($G$26:$G$31=$C$8))=1,SUMPRODUCT(($B$38:$B$43=AE$2)*($C$38:$C$43=$C$8))=1,
        SUMPRODUCT(($F$38:$F$43=AE$2)*($G$38:$G$43=$C$8))=1), "",휴무요일과특정일휴무!AD58)</f>
        <v>신대진</v>
      </c>
      <c r="AF8" s="122" t="str" cm="1">
        <f t="array" ref="AF8">IF(OR(SUMPRODUCT(($F$26:$F$31=AF$2)*($G$26:$G$31=$C$8))=1,SUMPRODUCT(($B$38:$B$43=AF$2)*($C$38:$C$43=$C$8))=1,
        SUMPRODUCT(($F$38:$F$43=AF$2)*($G$38:$G$43=$C$8))=1), "",휴무요일과특정일휴무!AE58)</f>
        <v>신대진</v>
      </c>
      <c r="AG8" s="122" t="str" cm="1">
        <f t="array" ref="AG8">IF(OR(SUMPRODUCT(($F$26:$F$31=AG$2)*($G$26:$G$31=$C$8))=1,SUMPRODUCT(($B$38:$B$43=AG$2)*($C$38:$C$43=$C$8))=1,
        SUMPRODUCT(($F$38:$F$43=AG$2)*($G$38:$G$43=$C$8))=1), "",휴무요일과특정일휴무!AF58)</f>
        <v>신대진</v>
      </c>
      <c r="AH8" s="122" t="str" cm="1">
        <f t="array" ref="AH8">IF(OR(SUMPRODUCT(($F$26:$F$31=AH$2)*($G$26:$G$31=$C$8))=1,SUMPRODUCT(($B$38:$B$43=AH$2)*($C$38:$C$43=$C$8))=1,
        SUMPRODUCT(($F$38:$F$43=AH$2)*($G$38:$G$43=$C$8))=1), "",휴무요일과특정일휴무!AG58)</f>
        <v>신대진</v>
      </c>
      <c r="AL8" s="128"/>
      <c r="AM8" s="128"/>
    </row>
    <row r="9" spans="2:39" hidden="1" x14ac:dyDescent="0.25">
      <c r="B9" s="154">
        <v>7</v>
      </c>
      <c r="C9" s="123" t="str">
        <f>이름기초!$B$17</f>
        <v>김대화</v>
      </c>
      <c r="D9" s="122" t="str" cm="1">
        <f t="array" ref="D9">IF(OR(SUMPRODUCT(($F$26:$F$31=D$2)*($G$26:$G$31=$C$9))=1,SUMPRODUCT(($B$38:$B$43=D$2)*($C$38:$C$43=$C$9))=1,
        SUMPRODUCT(($F$38:$F$43=D$2)*($G$38:$G$43=$C$9))=1), "",휴무요일과특정일휴무!C59)</f>
        <v>김대화</v>
      </c>
      <c r="E9" s="122" t="str" cm="1">
        <f t="array" ref="E9">IF(OR(SUMPRODUCT(($F$26:$F$31=E$2)*($G$26:$G$31=$C$9))=1,SUMPRODUCT(($B$38:$B$43=E$2)*($C$38:$C$43=$C$9))=1,
        SUMPRODUCT(($F$38:$F$43=E$2)*($G$38:$G$43=$C$9))=1), "",휴무요일과특정일휴무!D59)</f>
        <v/>
      </c>
      <c r="F9" s="122" t="str" cm="1">
        <f t="array" ref="F9">IF(OR(SUMPRODUCT(($F$26:$F$31=F$2)*($G$26:$G$31=$C$9))=1,SUMPRODUCT(($B$38:$B$43=F$2)*($C$38:$C$43=$C$9))=1,
        SUMPRODUCT(($F$38:$F$43=F$2)*($G$38:$G$43=$C$9))=1), "",휴무요일과특정일휴무!E59)</f>
        <v/>
      </c>
      <c r="G9" s="122" t="str" cm="1">
        <f t="array" ref="G9">IF(OR(SUMPRODUCT(($F$26:$F$31=G$2)*($G$26:$G$31=$C$9))=1,SUMPRODUCT(($B$38:$B$43=G$2)*($C$38:$C$43=$C$9))=1,
        SUMPRODUCT(($F$38:$F$43=G$2)*($G$38:$G$43=$C$9))=1), "",휴무요일과특정일휴무!F59)</f>
        <v/>
      </c>
      <c r="H9" s="122" t="str" cm="1">
        <f t="array" ref="H9">IF(OR(SUMPRODUCT(($F$26:$F$31=H$2)*($G$26:$G$31=$C$9))=1,SUMPRODUCT(($B$38:$B$43=H$2)*($C$38:$C$43=$C$9))=1,
        SUMPRODUCT(($F$38:$F$43=H$2)*($G$38:$G$43=$C$9))=1), "",휴무요일과특정일휴무!G59)</f>
        <v>김대화</v>
      </c>
      <c r="I9" s="122" t="str" cm="1">
        <f t="array" ref="I9">IF(OR(SUMPRODUCT(($F$26:$F$31=I$2)*($G$26:$G$31=$C$9))=1,SUMPRODUCT(($B$38:$B$43=I$2)*($C$38:$C$43=$C$9))=1,
        SUMPRODUCT(($F$38:$F$43=I$2)*($G$38:$G$43=$C$9))=1), "",휴무요일과특정일휴무!H59)</f>
        <v>김대화</v>
      </c>
      <c r="J9" s="122" t="str" cm="1">
        <f t="array" ref="J9">IF(OR(SUMPRODUCT(($F$26:$F$31=J$2)*($G$26:$G$31=$C$9))=1,SUMPRODUCT(($B$38:$B$43=J$2)*($C$38:$C$43=$C$9))=1,
        SUMPRODUCT(($F$38:$F$43=J$2)*($G$38:$G$43=$C$9))=1), "",휴무요일과특정일휴무!I59)</f>
        <v>김대화</v>
      </c>
      <c r="K9" s="122" t="str" cm="1">
        <f t="array" ref="K9">IF(OR(SUMPRODUCT(($F$26:$F$31=K$2)*($G$26:$G$31=$C$9))=1,SUMPRODUCT(($B$38:$B$43=K$2)*($C$38:$C$43=$C$9))=1,
        SUMPRODUCT(($F$38:$F$43=K$2)*($G$38:$G$43=$C$9))=1), "",휴무요일과특정일휴무!J59)</f>
        <v>김대화</v>
      </c>
      <c r="L9" s="122" t="str" cm="1">
        <f t="array" ref="L9">IF(OR(SUMPRODUCT(($F$26:$F$31=L$2)*($G$26:$G$31=$C$9))=1,SUMPRODUCT(($B$38:$B$43=L$2)*($C$38:$C$43=$C$9))=1,
        SUMPRODUCT(($F$38:$F$43=L$2)*($G$38:$G$43=$C$9))=1), "",휴무요일과특정일휴무!K59)</f>
        <v/>
      </c>
      <c r="M9" s="122" t="str" cm="1">
        <f t="array" ref="M9">IF(OR(SUMPRODUCT(($F$26:$F$31=M$2)*($G$26:$G$31=$C$9))=1,SUMPRODUCT(($B$38:$B$43=M$2)*($C$38:$C$43=$C$9))=1,
        SUMPRODUCT(($F$38:$F$43=M$2)*($G$38:$G$43=$C$9))=1), "",휴무요일과특정일휴무!L59)</f>
        <v/>
      </c>
      <c r="N9" s="122" t="str" cm="1">
        <f t="array" ref="N9">IF(OR(SUMPRODUCT(($F$26:$F$31=N$2)*($G$26:$G$31=$C$9))=1,SUMPRODUCT(($B$38:$B$43=N$2)*($C$38:$C$43=$C$9))=1,
        SUMPRODUCT(($F$38:$F$43=N$2)*($G$38:$G$43=$C$9))=1), "",휴무요일과특정일휴무!M59)</f>
        <v/>
      </c>
      <c r="O9" s="122" t="str" cm="1">
        <f t="array" ref="O9">IF(OR(SUMPRODUCT(($F$26:$F$31=O$2)*($G$26:$G$31=$C$9))=1,SUMPRODUCT(($B$38:$B$43=O$2)*($C$38:$C$43=$C$9))=1,
        SUMPRODUCT(($F$38:$F$43=O$2)*($G$38:$G$43=$C$9))=1), "",휴무요일과특정일휴무!N59)</f>
        <v>김대화</v>
      </c>
      <c r="P9" s="122" t="str" cm="1">
        <f t="array" ref="P9">IF(OR(SUMPRODUCT(($F$26:$F$31=P$2)*($G$26:$G$31=$C$9))=1,SUMPRODUCT(($B$38:$B$43=P$2)*($C$38:$C$43=$C$9))=1,
        SUMPRODUCT(($F$38:$F$43=P$2)*($G$38:$G$43=$C$9))=1), "",휴무요일과특정일휴무!O59)</f>
        <v>김대화</v>
      </c>
      <c r="Q9" s="122" t="str" cm="1">
        <f t="array" ref="Q9">IF(OR(SUMPRODUCT(($F$26:$F$31=Q$2)*($G$26:$G$31=$C$9))=1,SUMPRODUCT(($B$38:$B$43=Q$2)*($C$38:$C$43=$C$9))=1,
        SUMPRODUCT(($F$38:$F$43=Q$2)*($G$38:$G$43=$C$9))=1), "",휴무요일과특정일휴무!P59)</f>
        <v>김대화</v>
      </c>
      <c r="R9" s="122" t="str" cm="1">
        <f t="array" ref="R9">IF(OR(SUMPRODUCT(($F$26:$F$31=R$2)*($G$26:$G$31=$C$9))=1,SUMPRODUCT(($B$38:$B$43=R$2)*($C$38:$C$43=$C$9))=1,
        SUMPRODUCT(($F$38:$F$43=R$2)*($G$38:$G$43=$C$9))=1), "",휴무요일과특정일휴무!Q59)</f>
        <v>김대화</v>
      </c>
      <c r="S9" s="122" t="str" cm="1">
        <f t="array" ref="S9">IF(OR(SUMPRODUCT(($F$26:$F$31=S$2)*($G$26:$G$31=$C$9))=1,SUMPRODUCT(($B$38:$B$43=S$2)*($C$38:$C$43=$C$9))=1,
        SUMPRODUCT(($F$38:$F$43=S$2)*($G$38:$G$43=$C$9))=1), "",휴무요일과특정일휴무!R59)</f>
        <v>김대화</v>
      </c>
      <c r="T9" s="122" t="str" cm="1">
        <f t="array" ref="T9">IF(OR(SUMPRODUCT(($F$26:$F$31=T$2)*($G$26:$G$31=$C$9))=1,SUMPRODUCT(($B$38:$B$43=T$2)*($C$38:$C$43=$C$9))=1,
        SUMPRODUCT(($F$38:$F$43=T$2)*($G$38:$G$43=$C$9))=1), "",휴무요일과특정일휴무!S59)</f>
        <v/>
      </c>
      <c r="U9" s="122" t="str" cm="1">
        <f t="array" ref="U9">IF(OR(SUMPRODUCT(($F$26:$F$31=U$2)*($G$26:$G$31=$C$9))=1,SUMPRODUCT(($B$38:$B$43=U$2)*($C$38:$C$43=$C$9))=1,
        SUMPRODUCT(($F$38:$F$43=U$2)*($G$38:$G$43=$C$9))=1), "",휴무요일과특정일휴무!T59)</f>
        <v/>
      </c>
      <c r="V9" s="122" t="str" cm="1">
        <f t="array" ref="V9">IF(OR(SUMPRODUCT(($F$26:$F$31=V$2)*($G$26:$G$31=$C$9))=1,SUMPRODUCT(($B$38:$B$43=V$2)*($C$38:$C$43=$C$9))=1,
        SUMPRODUCT(($F$38:$F$43=V$2)*($G$38:$G$43=$C$9))=1), "",휴무요일과특정일휴무!U59)</f>
        <v>김대화</v>
      </c>
      <c r="W9" s="122" t="str" cm="1">
        <f t="array" ref="W9">IF(OR(SUMPRODUCT(($F$26:$F$31=W$2)*($G$26:$G$31=$C$9))=1,SUMPRODUCT(($B$38:$B$43=W$2)*($C$38:$C$43=$C$9))=1,
        SUMPRODUCT(($F$38:$F$43=W$2)*($G$38:$G$43=$C$9))=1), "",휴무요일과특정일휴무!V59)</f>
        <v>김대화</v>
      </c>
      <c r="X9" s="122" t="str" cm="1">
        <f t="array" ref="X9">IF(OR(SUMPRODUCT(($F$26:$F$31=X$2)*($G$26:$G$31=$C$9))=1,SUMPRODUCT(($B$38:$B$43=X$2)*($C$38:$C$43=$C$9))=1,
        SUMPRODUCT(($F$38:$F$43=X$2)*($G$38:$G$43=$C$9))=1), "",휴무요일과특정일휴무!W59)</f>
        <v>김대화</v>
      </c>
      <c r="Y9" s="122" t="str" cm="1">
        <f t="array" ref="Y9">IF(OR(SUMPRODUCT(($F$26:$F$31=Y$2)*($G$26:$G$31=$C$9))=1,SUMPRODUCT(($B$38:$B$43=Y$2)*($C$38:$C$43=$C$9))=1,
        SUMPRODUCT(($F$38:$F$43=Y$2)*($G$38:$G$43=$C$9))=1), "",휴무요일과특정일휴무!X59)</f>
        <v>김대화</v>
      </c>
      <c r="Z9" s="122" t="str" cm="1">
        <f t="array" ref="Z9">IF(OR(SUMPRODUCT(($F$26:$F$31=Z$2)*($G$26:$G$31=$C$9))=1,SUMPRODUCT(($B$38:$B$43=Z$2)*($C$38:$C$43=$C$9))=1,
        SUMPRODUCT(($F$38:$F$43=Z$2)*($G$38:$G$43=$C$9))=1), "",휴무요일과특정일휴무!Y59)</f>
        <v>김대화</v>
      </c>
      <c r="AA9" s="122" t="str" cm="1">
        <f t="array" ref="AA9">IF(OR(SUMPRODUCT(($F$26:$F$31=AA$2)*($G$26:$G$31=$C$9))=1,SUMPRODUCT(($B$38:$B$43=AA$2)*($C$38:$C$43=$C$9))=1,
        SUMPRODUCT(($F$38:$F$43=AA$2)*($G$38:$G$43=$C$9))=1), "",휴무요일과특정일휴무!Z59)</f>
        <v/>
      </c>
      <c r="AB9" s="122" t="str" cm="1">
        <f t="array" ref="AB9">IF(OR(SUMPRODUCT(($F$26:$F$31=AB$2)*($G$26:$G$31=$C$9))=1,SUMPRODUCT(($B$38:$B$43=AB$2)*($C$38:$C$43=$C$9))=1,
        SUMPRODUCT(($F$38:$F$43=AB$2)*($G$38:$G$43=$C$9))=1), "",휴무요일과특정일휴무!AA59)</f>
        <v/>
      </c>
      <c r="AC9" s="122" t="str" cm="1">
        <f t="array" ref="AC9">IF(OR(SUMPRODUCT(($F$26:$F$31=AC$2)*($G$26:$G$31=$C$9))=1,SUMPRODUCT(($B$38:$B$43=AC$2)*($C$38:$C$43=$C$9))=1,
        SUMPRODUCT(($F$38:$F$43=AC$2)*($G$38:$G$43=$C$9))=1), "",휴무요일과특정일휴무!AB59)</f>
        <v>김대화</v>
      </c>
      <c r="AD9" s="122" t="str" cm="1">
        <f t="array" ref="AD9">IF(OR(SUMPRODUCT(($F$26:$F$31=AD$2)*($G$26:$G$31=$C$9))=1,SUMPRODUCT(($B$38:$B$43=AD$2)*($C$38:$C$43=$C$9))=1,
        SUMPRODUCT(($F$38:$F$43=AD$2)*($G$38:$G$43=$C$9))=1), "",휴무요일과특정일휴무!AC59)</f>
        <v>김대화</v>
      </c>
      <c r="AE9" s="122" t="str" cm="1">
        <f t="array" ref="AE9">IF(OR(SUMPRODUCT(($F$26:$F$31=AE$2)*($G$26:$G$31=$C$9))=1,SUMPRODUCT(($B$38:$B$43=AE$2)*($C$38:$C$43=$C$9))=1,
        SUMPRODUCT(($F$38:$F$43=AE$2)*($G$38:$G$43=$C$9))=1), "",휴무요일과특정일휴무!AD59)</f>
        <v>김대화</v>
      </c>
      <c r="AF9" s="122" t="str" cm="1">
        <f t="array" ref="AF9">IF(OR(SUMPRODUCT(($F$26:$F$31=AF$2)*($G$26:$G$31=$C$9))=1,SUMPRODUCT(($B$38:$B$43=AF$2)*($C$38:$C$43=$C$9))=1,
        SUMPRODUCT(($F$38:$F$43=AF$2)*($G$38:$G$43=$C$9))=1), "",휴무요일과특정일휴무!AE59)</f>
        <v>김대화</v>
      </c>
      <c r="AG9" s="122" t="str" cm="1">
        <f t="array" ref="AG9">IF(OR(SUMPRODUCT(($F$26:$F$31=AG$2)*($G$26:$G$31=$C$9))=1,SUMPRODUCT(($B$38:$B$43=AG$2)*($C$38:$C$43=$C$9))=1,
        SUMPRODUCT(($F$38:$F$43=AG$2)*($G$38:$G$43=$C$9))=1), "",휴무요일과특정일휴무!AF59)</f>
        <v>김대화</v>
      </c>
      <c r="AH9" s="122" t="str" cm="1">
        <f t="array" ref="AH9">IF(OR(SUMPRODUCT(($F$26:$F$31=AH$2)*($G$26:$G$31=$C$9))=1,SUMPRODUCT(($B$38:$B$43=AH$2)*($C$38:$C$43=$C$9))=1,
        SUMPRODUCT(($F$38:$F$43=AH$2)*($G$38:$G$43=$C$9))=1), "",휴무요일과특정일휴무!AG59)</f>
        <v/>
      </c>
      <c r="AL9" s="121"/>
      <c r="AM9" s="121"/>
    </row>
    <row r="10" spans="2:39" hidden="1" x14ac:dyDescent="0.25">
      <c r="B10" s="154">
        <v>8</v>
      </c>
      <c r="C10" s="123" t="str">
        <f>이름기초!$B$18</f>
        <v>김제원</v>
      </c>
      <c r="D10" s="122" t="str" cm="1">
        <f t="array" ref="D10">IF(OR(SUMPRODUCT(($F$26:$F$31=D$2)*($G$26:$G$31=$C$10))=1,SUMPRODUCT(($B$38:$B$43=D$2)*($C$38:$C$43=$C$10))=1,
        SUMPRODUCT(($F$38:$F$43=D$2)*($G$38:$G$43=$C$10))=1), "",휴무요일과특정일휴무!C60)</f>
        <v/>
      </c>
      <c r="E10" s="122" t="str" cm="1">
        <f t="array" ref="E10">IF(OR(SUMPRODUCT(($F$26:$F$31=E$2)*($G$26:$G$31=$C$10))=1,SUMPRODUCT(($B$38:$B$43=E$2)*($C$38:$C$43=$C$10))=1,
        SUMPRODUCT(($F$38:$F$43=E$2)*($G$38:$G$43=$C$10))=1), "",휴무요일과특정일휴무!D60)</f>
        <v>김제원</v>
      </c>
      <c r="F10" s="122" t="str" cm="1">
        <f t="array" ref="F10">IF(OR(SUMPRODUCT(($F$26:$F$31=F$2)*($G$26:$G$31=$C$10))=1,SUMPRODUCT(($B$38:$B$43=F$2)*($C$38:$C$43=$C$10))=1,
        SUMPRODUCT(($F$38:$F$43=F$2)*($G$38:$G$43=$C$10))=1), "",휴무요일과특정일휴무!E60)</f>
        <v>김제원</v>
      </c>
      <c r="G10" s="122" t="str" cm="1">
        <f t="array" ref="G10">IF(OR(SUMPRODUCT(($F$26:$F$31=G$2)*($G$26:$G$31=$C$10))=1,SUMPRODUCT(($B$38:$B$43=G$2)*($C$38:$C$43=$C$10))=1,
        SUMPRODUCT(($F$38:$F$43=G$2)*($G$38:$G$43=$C$10))=1), "",휴무요일과특정일휴무!F60)</f>
        <v>김제원</v>
      </c>
      <c r="H10" s="122" t="str" cm="1">
        <f t="array" ref="H10">IF(OR(SUMPRODUCT(($F$26:$F$31=H$2)*($G$26:$G$31=$C$10))=1,SUMPRODUCT(($B$38:$B$43=H$2)*($C$38:$C$43=$C$10))=1,
        SUMPRODUCT(($F$38:$F$43=H$2)*($G$38:$G$43=$C$10))=1), "",휴무요일과특정일휴무!G60)</f>
        <v>김제원</v>
      </c>
      <c r="I10" s="122" t="str" cm="1">
        <f t="array" ref="I10">IF(OR(SUMPRODUCT(($F$26:$F$31=I$2)*($G$26:$G$31=$C$10))=1,SUMPRODUCT(($B$38:$B$43=I$2)*($C$38:$C$43=$C$10))=1,
        SUMPRODUCT(($F$38:$F$43=I$2)*($G$38:$G$43=$C$10))=1), "",휴무요일과특정일휴무!H60)</f>
        <v/>
      </c>
      <c r="J10" s="122" t="str" cm="1">
        <f t="array" ref="J10">IF(OR(SUMPRODUCT(($F$26:$F$31=J$2)*($G$26:$G$31=$C$10))=1,SUMPRODUCT(($B$38:$B$43=J$2)*($C$38:$C$43=$C$10))=1,
        SUMPRODUCT(($F$38:$F$43=J$2)*($G$38:$G$43=$C$10))=1), "",휴무요일과특정일휴무!I60)</f>
        <v/>
      </c>
      <c r="K10" s="122" t="str" cm="1">
        <f t="array" ref="K10">IF(OR(SUMPRODUCT(($F$26:$F$31=K$2)*($G$26:$G$31=$C$10))=1,SUMPRODUCT(($B$38:$B$43=K$2)*($C$38:$C$43=$C$10))=1,
        SUMPRODUCT(($F$38:$F$43=K$2)*($G$38:$G$43=$C$10))=1), "",휴무요일과특정일휴무!J60)</f>
        <v/>
      </c>
      <c r="L10" s="122" t="str" cm="1">
        <f t="array" ref="L10">IF(OR(SUMPRODUCT(($F$26:$F$31=L$2)*($G$26:$G$31=$C$10))=1,SUMPRODUCT(($B$38:$B$43=L$2)*($C$38:$C$43=$C$10))=1,
        SUMPRODUCT(($F$38:$F$43=L$2)*($G$38:$G$43=$C$10))=1), "",휴무요일과특정일휴무!K60)</f>
        <v>김제원</v>
      </c>
      <c r="M10" s="122" t="str" cm="1">
        <f t="array" ref="M10">IF(OR(SUMPRODUCT(($F$26:$F$31=M$2)*($G$26:$G$31=$C$10))=1,SUMPRODUCT(($B$38:$B$43=M$2)*($C$38:$C$43=$C$10))=1,
        SUMPRODUCT(($F$38:$F$43=M$2)*($G$38:$G$43=$C$10))=1), "",휴무요일과특정일휴무!L60)</f>
        <v>김제원</v>
      </c>
      <c r="N10" s="122" t="str" cm="1">
        <f t="array" ref="N10">IF(OR(SUMPRODUCT(($F$26:$F$31=N$2)*($G$26:$G$31=$C$10))=1,SUMPRODUCT(($B$38:$B$43=N$2)*($C$38:$C$43=$C$10))=1,
        SUMPRODUCT(($F$38:$F$43=N$2)*($G$38:$G$43=$C$10))=1), "",휴무요일과특정일휴무!M60)</f>
        <v>김제원</v>
      </c>
      <c r="O10" s="122" t="str" cm="1">
        <f t="array" ref="O10">IF(OR(SUMPRODUCT(($F$26:$F$31=O$2)*($G$26:$G$31=$C$10))=1,SUMPRODUCT(($B$38:$B$43=O$2)*($C$38:$C$43=$C$10))=1,
        SUMPRODUCT(($F$38:$F$43=O$2)*($G$38:$G$43=$C$10))=1), "",휴무요일과특정일휴무!N60)</f>
        <v>김제원</v>
      </c>
      <c r="P10" s="122" t="str" cm="1">
        <f t="array" ref="P10">IF(OR(SUMPRODUCT(($F$26:$F$31=P$2)*($G$26:$G$31=$C$10))=1,SUMPRODUCT(($B$38:$B$43=P$2)*($C$38:$C$43=$C$10))=1,
        SUMPRODUCT(($F$38:$F$43=P$2)*($G$38:$G$43=$C$10))=1), "",휴무요일과특정일휴무!O60)</f>
        <v/>
      </c>
      <c r="Q10" s="122" t="str" cm="1">
        <f t="array" ref="Q10">IF(OR(SUMPRODUCT(($F$26:$F$31=Q$2)*($G$26:$G$31=$C$10))=1,SUMPRODUCT(($B$38:$B$43=Q$2)*($C$38:$C$43=$C$10))=1,
        SUMPRODUCT(($F$38:$F$43=Q$2)*($G$38:$G$43=$C$10))=1), "",휴무요일과특정일휴무!P60)</f>
        <v/>
      </c>
      <c r="R10" s="122" t="str" cm="1">
        <f t="array" ref="R10">IF(OR(SUMPRODUCT(($F$26:$F$31=R$2)*($G$26:$G$31=$C$10))=1,SUMPRODUCT(($B$38:$B$43=R$2)*($C$38:$C$43=$C$10))=1,
        SUMPRODUCT(($F$38:$F$43=R$2)*($G$38:$G$43=$C$10))=1), "",휴무요일과특정일휴무!Q60)</f>
        <v/>
      </c>
      <c r="S10" s="122" t="str" cm="1">
        <f t="array" ref="S10">IF(OR(SUMPRODUCT(($F$26:$F$31=S$2)*($G$26:$G$31=$C$10))=1,SUMPRODUCT(($B$38:$B$43=S$2)*($C$38:$C$43=$C$10))=1,
        SUMPRODUCT(($F$38:$F$43=S$2)*($G$38:$G$43=$C$10))=1), "",휴무요일과특정일휴무!R60)</f>
        <v/>
      </c>
      <c r="T10" s="122" t="str" cm="1">
        <f t="array" ref="T10">IF(OR(SUMPRODUCT(($F$26:$F$31=T$2)*($G$26:$G$31=$C$10))=1,SUMPRODUCT(($B$38:$B$43=T$2)*($C$38:$C$43=$C$10))=1,
        SUMPRODUCT(($F$38:$F$43=T$2)*($G$38:$G$43=$C$10))=1), "",휴무요일과특정일휴무!S60)</f>
        <v>김제원</v>
      </c>
      <c r="U10" s="122" t="str" cm="1">
        <f t="array" ref="U10">IF(OR(SUMPRODUCT(($F$26:$F$31=U$2)*($G$26:$G$31=$C$10))=1,SUMPRODUCT(($B$38:$B$43=U$2)*($C$38:$C$43=$C$10))=1,
        SUMPRODUCT(($F$38:$F$43=U$2)*($G$38:$G$43=$C$10))=1), "",휴무요일과특정일휴무!T60)</f>
        <v>김제원</v>
      </c>
      <c r="V10" s="122" t="str" cm="1">
        <f t="array" ref="V10">IF(OR(SUMPRODUCT(($F$26:$F$31=V$2)*($G$26:$G$31=$C$10))=1,SUMPRODUCT(($B$38:$B$43=V$2)*($C$38:$C$43=$C$10))=1,
        SUMPRODUCT(($F$38:$F$43=V$2)*($G$38:$G$43=$C$10))=1), "",휴무요일과특정일휴무!U60)</f>
        <v>김제원</v>
      </c>
      <c r="W10" s="122" t="str" cm="1">
        <f t="array" ref="W10">IF(OR(SUMPRODUCT(($F$26:$F$31=W$2)*($G$26:$G$31=$C$10))=1,SUMPRODUCT(($B$38:$B$43=W$2)*($C$38:$C$43=$C$10))=1,
        SUMPRODUCT(($F$38:$F$43=W$2)*($G$38:$G$43=$C$10))=1), "",휴무요일과특정일휴무!V60)</f>
        <v/>
      </c>
      <c r="X10" s="122" t="str" cm="1">
        <f t="array" ref="X10">IF(OR(SUMPRODUCT(($F$26:$F$31=X$2)*($G$26:$G$31=$C$10))=1,SUMPRODUCT(($B$38:$B$43=X$2)*($C$38:$C$43=$C$10))=1,
        SUMPRODUCT(($F$38:$F$43=X$2)*($G$38:$G$43=$C$10))=1), "",휴무요일과특정일휴무!W60)</f>
        <v/>
      </c>
      <c r="Y10" s="122" t="str" cm="1">
        <f t="array" ref="Y10">IF(OR(SUMPRODUCT(($F$26:$F$31=Y$2)*($G$26:$G$31=$C$10))=1,SUMPRODUCT(($B$38:$B$43=Y$2)*($C$38:$C$43=$C$10))=1,
        SUMPRODUCT(($F$38:$F$43=Y$2)*($G$38:$G$43=$C$10))=1), "",휴무요일과특정일휴무!X60)</f>
        <v/>
      </c>
      <c r="Z10" s="122" t="str" cm="1">
        <f t="array" ref="Z10">IF(OR(SUMPRODUCT(($F$26:$F$31=Z$2)*($G$26:$G$31=$C$10))=1,SUMPRODUCT(($B$38:$B$43=Z$2)*($C$38:$C$43=$C$10))=1,
        SUMPRODUCT(($F$38:$F$43=Z$2)*($G$38:$G$43=$C$10))=1), "",휴무요일과특정일휴무!Y60)</f>
        <v>김제원</v>
      </c>
      <c r="AA10" s="122" t="str" cm="1">
        <f t="array" ref="AA10">IF(OR(SUMPRODUCT(($F$26:$F$31=AA$2)*($G$26:$G$31=$C$10))=1,SUMPRODUCT(($B$38:$B$43=AA$2)*($C$38:$C$43=$C$10))=1,
        SUMPRODUCT(($F$38:$F$43=AA$2)*($G$38:$G$43=$C$10))=1), "",휴무요일과특정일휴무!Z60)</f>
        <v>김제원</v>
      </c>
      <c r="AB10" s="122" t="str" cm="1">
        <f t="array" ref="AB10">IF(OR(SUMPRODUCT(($F$26:$F$31=AB$2)*($G$26:$G$31=$C$10))=1,SUMPRODUCT(($B$38:$B$43=AB$2)*($C$38:$C$43=$C$10))=1,
        SUMPRODUCT(($F$38:$F$43=AB$2)*($G$38:$G$43=$C$10))=1), "",휴무요일과특정일휴무!AA60)</f>
        <v>김제원</v>
      </c>
      <c r="AC10" s="122" t="str" cm="1">
        <f t="array" ref="AC10">IF(OR(SUMPRODUCT(($F$26:$F$31=AC$2)*($G$26:$G$31=$C$10))=1,SUMPRODUCT(($B$38:$B$43=AC$2)*($C$38:$C$43=$C$10))=1,
        SUMPRODUCT(($F$38:$F$43=AC$2)*($G$38:$G$43=$C$10))=1), "",휴무요일과특정일휴무!AB60)</f>
        <v>김제원</v>
      </c>
      <c r="AD10" s="122" t="str" cm="1">
        <f t="array" ref="AD10">IF(OR(SUMPRODUCT(($F$26:$F$31=AD$2)*($G$26:$G$31=$C$10))=1,SUMPRODUCT(($B$38:$B$43=AD$2)*($C$38:$C$43=$C$10))=1,
        SUMPRODUCT(($F$38:$F$43=AD$2)*($G$38:$G$43=$C$10))=1), "",휴무요일과특정일휴무!AC60)</f>
        <v/>
      </c>
      <c r="AE10" s="122" t="str" cm="1">
        <f t="array" ref="AE10">IF(OR(SUMPRODUCT(($F$26:$F$31=AE$2)*($G$26:$G$31=$C$10))=1,SUMPRODUCT(($B$38:$B$43=AE$2)*($C$38:$C$43=$C$10))=1,
        SUMPRODUCT(($F$38:$F$43=AE$2)*($G$38:$G$43=$C$10))=1), "",휴무요일과특정일휴무!AD60)</f>
        <v/>
      </c>
      <c r="AF10" s="122" t="str" cm="1">
        <f t="array" ref="AF10">IF(OR(SUMPRODUCT(($F$26:$F$31=AF$2)*($G$26:$G$31=$C$10))=1,SUMPRODUCT(($B$38:$B$43=AF$2)*($C$38:$C$43=$C$10))=1,
        SUMPRODUCT(($F$38:$F$43=AF$2)*($G$38:$G$43=$C$10))=1), "",휴무요일과특정일휴무!AE60)</f>
        <v/>
      </c>
      <c r="AG10" s="122" t="str" cm="1">
        <f t="array" ref="AG10">IF(OR(SUMPRODUCT(($F$26:$F$31=AG$2)*($G$26:$G$31=$C$10))=1,SUMPRODUCT(($B$38:$B$43=AG$2)*($C$38:$C$43=$C$10))=1,
        SUMPRODUCT(($F$38:$F$43=AG$2)*($G$38:$G$43=$C$10))=1), "",휴무요일과특정일휴무!AF60)</f>
        <v>김제원</v>
      </c>
      <c r="AH10" s="122" t="str" cm="1">
        <f t="array" ref="AH10">IF(OR(SUMPRODUCT(($F$26:$F$31=AH$2)*($G$26:$G$31=$C$10))=1,SUMPRODUCT(($B$38:$B$43=AH$2)*($C$38:$C$43=$C$10))=1,
        SUMPRODUCT(($F$38:$F$43=AH$2)*($G$38:$G$43=$C$10))=1), "",휴무요일과특정일휴무!AG60)</f>
        <v>김제원</v>
      </c>
      <c r="AL10" s="121"/>
      <c r="AM10" s="121"/>
    </row>
    <row r="11" spans="2:39" hidden="1" x14ac:dyDescent="0.25">
      <c r="B11" s="154">
        <v>9</v>
      </c>
      <c r="C11" s="123" t="str">
        <f>이름기초!$B$19</f>
        <v>공란</v>
      </c>
      <c r="D11" s="122" t="str" cm="1">
        <f t="array" ref="D11">IF(OR(SUMPRODUCT(($F$26:$F$31=D$2)*($G$26:$G$31=$C$11))=1,SUMPRODUCT(($B$38:$B$43=D$2)*($C$38:$C$43=$C$11))=1,
        SUMPRODUCT(($F$38:$F$43=D$2)*($G$38:$G$43=$C$11))=1), "",휴무요일과특정일휴무!C$61)</f>
        <v>공란</v>
      </c>
      <c r="E11" s="122" t="str" cm="1">
        <f t="array" ref="E11">IF(OR(SUMPRODUCT(($F$26:$F$31=E$2)*($G$26:$G$31=$C$11))=1,SUMPRODUCT(($B$38:$B$43=E$2)*($C$38:$C$43=$C$11))=1,
        SUMPRODUCT(($F$38:$F$43=E$2)*($G$38:$G$43=$C$11))=1), "",휴무요일과특정일휴무!D$61)</f>
        <v>공란</v>
      </c>
      <c r="F11" s="122" t="str" cm="1">
        <f t="array" ref="F11">IF(OR(SUMPRODUCT(($F$26:$F$31=F$2)*($G$26:$G$31=$C$11))=1,SUMPRODUCT(($B$38:$B$43=F$2)*($C$38:$C$43=$C$11))=1,
        SUMPRODUCT(($F$38:$F$43=F$2)*($G$38:$G$43=$C$11))=1), "",휴무요일과특정일휴무!E$61)</f>
        <v>공란</v>
      </c>
      <c r="G11" s="122" t="str" cm="1">
        <f t="array" ref="G11">IF(OR(SUMPRODUCT(($F$26:$F$31=G$2)*($G$26:$G$31=$C$11))=1,SUMPRODUCT(($B$38:$B$43=G$2)*($C$38:$C$43=$C$11))=1,
        SUMPRODUCT(($F$38:$F$43=G$2)*($G$38:$G$43=$C$11))=1), "",휴무요일과특정일휴무!F$61)</f>
        <v>공란</v>
      </c>
      <c r="H11" s="122" t="str" cm="1">
        <f t="array" ref="H11">IF(OR(SUMPRODUCT(($F$26:$F$31=H$2)*($G$26:$G$31=$C$11))=1,SUMPRODUCT(($B$38:$B$43=H$2)*($C$38:$C$43=$C$11))=1,
        SUMPRODUCT(($F$38:$F$43=H$2)*($G$38:$G$43=$C$11))=1), "",휴무요일과특정일휴무!G$61)</f>
        <v>공란</v>
      </c>
      <c r="I11" s="122" t="str" cm="1">
        <f t="array" ref="I11">IF(OR(SUMPRODUCT(($F$26:$F$31=I$2)*($G$26:$G$31=$C$11))=1,SUMPRODUCT(($B$38:$B$43=I$2)*($C$38:$C$43=$C$11))=1,
        SUMPRODUCT(($F$38:$F$43=I$2)*($G$38:$G$43=$C$11))=1), "",휴무요일과특정일휴무!H$61)</f>
        <v>공란</v>
      </c>
      <c r="J11" s="122" t="str" cm="1">
        <f t="array" ref="J11">IF(OR(SUMPRODUCT(($F$26:$F$31=J$2)*($G$26:$G$31=$C$11))=1,SUMPRODUCT(($B$38:$B$43=J$2)*($C$38:$C$43=$C$11))=1,
        SUMPRODUCT(($F$38:$F$43=J$2)*($G$38:$G$43=$C$11))=1), "",휴무요일과특정일휴무!I$61)</f>
        <v>공란</v>
      </c>
      <c r="K11" s="122" t="str" cm="1">
        <f t="array" ref="K11">IF(OR(SUMPRODUCT(($F$26:$F$31=K$2)*($G$26:$G$31=$C$11))=1,SUMPRODUCT(($B$38:$B$43=K$2)*($C$38:$C$43=$C$11))=1,
        SUMPRODUCT(($F$38:$F$43=K$2)*($G$38:$G$43=$C$11))=1), "",휴무요일과특정일휴무!J$61)</f>
        <v>공란</v>
      </c>
      <c r="L11" s="122" t="str" cm="1">
        <f t="array" ref="L11">IF(OR(SUMPRODUCT(($F$26:$F$31=L$2)*($G$26:$G$31=$C$11))=1,SUMPRODUCT(($B$38:$B$43=L$2)*($C$38:$C$43=$C$11))=1,
        SUMPRODUCT(($F$38:$F$43=L$2)*($G$38:$G$43=$C$11))=1), "",휴무요일과특정일휴무!K$61)</f>
        <v>공란</v>
      </c>
      <c r="M11" s="122" t="str" cm="1">
        <f t="array" ref="M11">IF(OR(SUMPRODUCT(($F$26:$F$31=M$2)*($G$26:$G$31=$C$11))=1,SUMPRODUCT(($B$38:$B$43=M$2)*($C$38:$C$43=$C$11))=1,
        SUMPRODUCT(($F$38:$F$43=M$2)*($G$38:$G$43=$C$11))=1), "",휴무요일과특정일휴무!L$61)</f>
        <v>공란</v>
      </c>
      <c r="N11" s="122" t="str" cm="1">
        <f t="array" ref="N11">IF(OR(SUMPRODUCT(($F$26:$F$31=N$2)*($G$26:$G$31=$C$11))=1,SUMPRODUCT(($B$38:$B$43=N$2)*($C$38:$C$43=$C$11))=1,
        SUMPRODUCT(($F$38:$F$43=N$2)*($G$38:$G$43=$C$11))=1), "",휴무요일과특정일휴무!M$61)</f>
        <v>공란</v>
      </c>
      <c r="O11" s="122" t="str" cm="1">
        <f t="array" ref="O11">IF(OR(SUMPRODUCT(($F$26:$F$31=O$2)*($G$26:$G$31=$C$11))=1,SUMPRODUCT(($B$38:$B$43=O$2)*($C$38:$C$43=$C$11))=1,
        SUMPRODUCT(($F$38:$F$43=O$2)*($G$38:$G$43=$C$11))=1), "",휴무요일과특정일휴무!N$61)</f>
        <v>공란</v>
      </c>
      <c r="P11" s="122" t="str" cm="1">
        <f t="array" ref="P11">IF(OR(SUMPRODUCT(($F$26:$F$31=P$2)*($G$26:$G$31=$C$11))=1,SUMPRODUCT(($B$38:$B$43=P$2)*($C$38:$C$43=$C$11))=1,
        SUMPRODUCT(($F$38:$F$43=P$2)*($G$38:$G$43=$C$11))=1), "",휴무요일과특정일휴무!O$61)</f>
        <v>공란</v>
      </c>
      <c r="Q11" s="122" t="str" cm="1">
        <f t="array" ref="Q11">IF(OR(SUMPRODUCT(($F$26:$F$31=Q$2)*($G$26:$G$31=$C$11))=1,SUMPRODUCT(($B$38:$B$43=Q$2)*($C$38:$C$43=$C$11))=1,
        SUMPRODUCT(($F$38:$F$43=Q$2)*($G$38:$G$43=$C$11))=1), "",휴무요일과특정일휴무!P$61)</f>
        <v>공란</v>
      </c>
      <c r="R11" s="122" t="str" cm="1">
        <f t="array" ref="R11">IF(OR(SUMPRODUCT(($F$26:$F$31=R$2)*($G$26:$G$31=$C$11))=1,SUMPRODUCT(($B$38:$B$43=R$2)*($C$38:$C$43=$C$11))=1,
        SUMPRODUCT(($F$38:$F$43=R$2)*($G$38:$G$43=$C$11))=1), "",휴무요일과특정일휴무!Q$61)</f>
        <v>공란</v>
      </c>
      <c r="S11" s="122" t="str" cm="1">
        <f t="array" ref="S11">IF(OR(SUMPRODUCT(($F$26:$F$31=S$2)*($G$26:$G$31=$C$11))=1,SUMPRODUCT(($B$38:$B$43=S$2)*($C$38:$C$43=$C$11))=1,
        SUMPRODUCT(($F$38:$F$43=S$2)*($G$38:$G$43=$C$11))=1), "",휴무요일과특정일휴무!R$61)</f>
        <v>공란</v>
      </c>
      <c r="T11" s="122" t="str" cm="1">
        <f t="array" ref="T11">IF(OR(SUMPRODUCT(($F$26:$F$31=T$2)*($G$26:$G$31=$C$11))=1,SUMPRODUCT(($B$38:$B$43=T$2)*($C$38:$C$43=$C$11))=1,
        SUMPRODUCT(($F$38:$F$43=T$2)*($G$38:$G$43=$C$11))=1), "",휴무요일과특정일휴무!S$61)</f>
        <v>공란</v>
      </c>
      <c r="U11" s="122" t="str" cm="1">
        <f t="array" ref="U11">IF(OR(SUMPRODUCT(($F$26:$F$31=U$2)*($G$26:$G$31=$C$11))=1,SUMPRODUCT(($B$38:$B$43=U$2)*($C$38:$C$43=$C$11))=1,
        SUMPRODUCT(($F$38:$F$43=U$2)*($G$38:$G$43=$C$11))=1), "",휴무요일과특정일휴무!T$61)</f>
        <v>공란</v>
      </c>
      <c r="V11" s="122" t="str" cm="1">
        <f t="array" ref="V11">IF(OR(SUMPRODUCT(($F$26:$F$31=V$2)*($G$26:$G$31=$C$11))=1,SUMPRODUCT(($B$38:$B$43=V$2)*($C$38:$C$43=$C$11))=1,
        SUMPRODUCT(($F$38:$F$43=V$2)*($G$38:$G$43=$C$11))=1), "",휴무요일과특정일휴무!U$61)</f>
        <v>공란</v>
      </c>
      <c r="W11" s="122" t="str" cm="1">
        <f t="array" ref="W11">IF(OR(SUMPRODUCT(($F$26:$F$31=W$2)*($G$26:$G$31=$C$11))=1,SUMPRODUCT(($B$38:$B$43=W$2)*($C$38:$C$43=$C$11))=1,
        SUMPRODUCT(($F$38:$F$43=W$2)*($G$38:$G$43=$C$11))=1), "",휴무요일과특정일휴무!V$61)</f>
        <v>공란</v>
      </c>
      <c r="X11" s="122" t="str" cm="1">
        <f t="array" ref="X11">IF(OR(SUMPRODUCT(($F$26:$F$31=X$2)*($G$26:$G$31=$C$11))=1,SUMPRODUCT(($B$38:$B$43=X$2)*($C$38:$C$43=$C$11))=1,
        SUMPRODUCT(($F$38:$F$43=X$2)*($G$38:$G$43=$C$11))=1), "",휴무요일과특정일휴무!W$61)</f>
        <v>공란</v>
      </c>
      <c r="Y11" s="122" t="str" cm="1">
        <f t="array" ref="Y11">IF(OR(SUMPRODUCT(($F$26:$F$31=Y$2)*($G$26:$G$31=$C$11))=1,SUMPRODUCT(($B$38:$B$43=Y$2)*($C$38:$C$43=$C$11))=1,
        SUMPRODUCT(($F$38:$F$43=Y$2)*($G$38:$G$43=$C$11))=1), "",휴무요일과특정일휴무!X$61)</f>
        <v>공란</v>
      </c>
      <c r="Z11" s="122" t="str" cm="1">
        <f t="array" ref="Z11">IF(OR(SUMPRODUCT(($F$26:$F$31=Z$2)*($G$26:$G$31=$C$11))=1,SUMPRODUCT(($B$38:$B$43=Z$2)*($C$38:$C$43=$C$11))=1,
        SUMPRODUCT(($F$38:$F$43=Z$2)*($G$38:$G$43=$C$11))=1), "",휴무요일과특정일휴무!Y$61)</f>
        <v>공란</v>
      </c>
      <c r="AA11" s="122" t="str" cm="1">
        <f t="array" ref="AA11">IF(OR(SUMPRODUCT(($F$26:$F$31=AA$2)*($G$26:$G$31=$C$11))=1,SUMPRODUCT(($B$38:$B$43=AA$2)*($C$38:$C$43=$C$11))=1,
        SUMPRODUCT(($F$38:$F$43=AA$2)*($G$38:$G$43=$C$11))=1), "",휴무요일과특정일휴무!Z$61)</f>
        <v>공란</v>
      </c>
      <c r="AB11" s="122" t="str" cm="1">
        <f t="array" ref="AB11">IF(OR(SUMPRODUCT(($F$26:$F$31=AB$2)*($G$26:$G$31=$C$11))=1,SUMPRODUCT(($B$38:$B$43=AB$2)*($C$38:$C$43=$C$11))=1,
        SUMPRODUCT(($F$38:$F$43=AB$2)*($G$38:$G$43=$C$11))=1), "",휴무요일과특정일휴무!AA$61)</f>
        <v>공란</v>
      </c>
      <c r="AC11" s="122" t="str" cm="1">
        <f t="array" ref="AC11">IF(OR(SUMPRODUCT(($F$26:$F$31=AC$2)*($G$26:$G$31=$C$11))=1,SUMPRODUCT(($B$38:$B$43=AC$2)*($C$38:$C$43=$C$11))=1,
        SUMPRODUCT(($F$38:$F$43=AC$2)*($G$38:$G$43=$C$11))=1), "",휴무요일과특정일휴무!AB$61)</f>
        <v>공란</v>
      </c>
      <c r="AD11" s="122" t="str" cm="1">
        <f t="array" ref="AD11">IF(OR(SUMPRODUCT(($F$26:$F$31=AD$2)*($G$26:$G$31=$C$11))=1,SUMPRODUCT(($B$38:$B$43=AD$2)*($C$38:$C$43=$C$11))=1,
        SUMPRODUCT(($F$38:$F$43=AD$2)*($G$38:$G$43=$C$11))=1), "",휴무요일과특정일휴무!AC$61)</f>
        <v>공란</v>
      </c>
      <c r="AE11" s="122" t="str" cm="1">
        <f t="array" ref="AE11">IF(OR(SUMPRODUCT(($F$26:$F$31=AE$2)*($G$26:$G$31=$C$11))=1,SUMPRODUCT(($B$38:$B$43=AE$2)*($C$38:$C$43=$C$11))=1,
        SUMPRODUCT(($F$38:$F$43=AE$2)*($G$38:$G$43=$C$11))=1), "",휴무요일과특정일휴무!AD$61)</f>
        <v>공란</v>
      </c>
      <c r="AF11" s="122" t="str" cm="1">
        <f t="array" ref="AF11">IF(OR(SUMPRODUCT(($F$26:$F$31=AF$2)*($G$26:$G$31=$C$11))=1,SUMPRODUCT(($B$38:$B$43=AF$2)*($C$38:$C$43=$C$11))=1,
        SUMPRODUCT(($F$38:$F$43=AF$2)*($G$38:$G$43=$C$11))=1), "",휴무요일과특정일휴무!AE$61)</f>
        <v>공란</v>
      </c>
      <c r="AG11" s="122" t="str" cm="1">
        <f t="array" ref="AG11">IF(OR(SUMPRODUCT(($F$26:$F$31=AG$2)*($G$26:$G$31=$C$11))=1,SUMPRODUCT(($B$38:$B$43=AG$2)*($C$38:$C$43=$C$11))=1,
        SUMPRODUCT(($F$38:$F$43=AG$2)*($G$38:$G$43=$C$11))=1), "",휴무요일과특정일휴무!AF$61)</f>
        <v>공란</v>
      </c>
      <c r="AH11" s="122" t="str" cm="1">
        <f t="array" ref="AH11">IF(OR(SUMPRODUCT(($F$26:$F$31=AH$2)*($G$26:$G$31=$C$11))=1,SUMPRODUCT(($B$38:$B$43=AH$2)*($C$38:$C$43=$C$11))=1,
        SUMPRODUCT(($F$38:$F$43=AH$2)*($G$38:$G$43=$C$11))=1), "",휴무요일과특정일휴무!AG$61)</f>
        <v>공란</v>
      </c>
      <c r="AL11" s="121"/>
      <c r="AM11" s="121"/>
    </row>
    <row r="12" spans="2:39" hidden="1" x14ac:dyDescent="0.25">
      <c r="AL12" s="121"/>
      <c r="AM12" s="121"/>
    </row>
    <row r="13" spans="2:39" hidden="1" x14ac:dyDescent="0.25">
      <c r="C13" s="126"/>
      <c r="D13" s="122">
        <f>DATE(월총근무일과시간!$F$2,월총근무일과시간!$G$2,1)</f>
        <v>45717</v>
      </c>
      <c r="E13" s="122">
        <f t="shared" ref="E13:AH13" si="1">D13+1</f>
        <v>45718</v>
      </c>
      <c r="F13" s="122">
        <f t="shared" si="1"/>
        <v>45719</v>
      </c>
      <c r="G13" s="122">
        <f t="shared" si="1"/>
        <v>45720</v>
      </c>
      <c r="H13" s="122">
        <f t="shared" si="1"/>
        <v>45721</v>
      </c>
      <c r="I13" s="122">
        <f t="shared" si="1"/>
        <v>45722</v>
      </c>
      <c r="J13" s="122">
        <f t="shared" si="1"/>
        <v>45723</v>
      </c>
      <c r="K13" s="122">
        <f t="shared" si="1"/>
        <v>45724</v>
      </c>
      <c r="L13" s="122">
        <f t="shared" si="1"/>
        <v>45725</v>
      </c>
      <c r="M13" s="122">
        <f t="shared" si="1"/>
        <v>45726</v>
      </c>
      <c r="N13" s="122">
        <f t="shared" si="1"/>
        <v>45727</v>
      </c>
      <c r="O13" s="122">
        <f t="shared" si="1"/>
        <v>45728</v>
      </c>
      <c r="P13" s="122">
        <f t="shared" si="1"/>
        <v>45729</v>
      </c>
      <c r="Q13" s="122">
        <f t="shared" si="1"/>
        <v>45730</v>
      </c>
      <c r="R13" s="122">
        <f t="shared" si="1"/>
        <v>45731</v>
      </c>
      <c r="S13" s="122">
        <f t="shared" si="1"/>
        <v>45732</v>
      </c>
      <c r="T13" s="122">
        <f t="shared" si="1"/>
        <v>45733</v>
      </c>
      <c r="U13" s="122">
        <f t="shared" si="1"/>
        <v>45734</v>
      </c>
      <c r="V13" s="122">
        <f t="shared" si="1"/>
        <v>45735</v>
      </c>
      <c r="W13" s="122">
        <f t="shared" si="1"/>
        <v>45736</v>
      </c>
      <c r="X13" s="122">
        <f t="shared" si="1"/>
        <v>45737</v>
      </c>
      <c r="Y13" s="122">
        <f t="shared" si="1"/>
        <v>45738</v>
      </c>
      <c r="Z13" s="122">
        <f t="shared" si="1"/>
        <v>45739</v>
      </c>
      <c r="AA13" s="122">
        <f t="shared" si="1"/>
        <v>45740</v>
      </c>
      <c r="AB13" s="122">
        <f t="shared" si="1"/>
        <v>45741</v>
      </c>
      <c r="AC13" s="122">
        <f t="shared" si="1"/>
        <v>45742</v>
      </c>
      <c r="AD13" s="122">
        <f t="shared" si="1"/>
        <v>45743</v>
      </c>
      <c r="AE13" s="122">
        <f t="shared" si="1"/>
        <v>45744</v>
      </c>
      <c r="AF13" s="122">
        <f t="shared" si="1"/>
        <v>45745</v>
      </c>
      <c r="AG13" s="122">
        <f t="shared" si="1"/>
        <v>45746</v>
      </c>
      <c r="AH13" s="122">
        <f t="shared" si="1"/>
        <v>45747</v>
      </c>
      <c r="AL13" s="121"/>
      <c r="AM13" s="121"/>
    </row>
    <row r="14" spans="2:39" hidden="1" x14ac:dyDescent="0.25">
      <c r="C14" s="129" t="str">
        <f>C26&amp;D26</f>
        <v>장영대김대화</v>
      </c>
      <c r="D14" s="122" t="str">
        <f>INDEX(D3:D$11,MATCH($C26,성명,0))&amp;IFERROR(INDEX(D$3:D$11,MATCH($D26,성명,0)),"")</f>
        <v>장영대김대화</v>
      </c>
      <c r="E14" s="122" t="str">
        <f>INDEX(E3:E$11,MATCH($C26,성명,0))&amp;IFERROR(INDEX(E$3:E$11,MATCH($D26,성명,0)),"")</f>
        <v>장영대</v>
      </c>
      <c r="F14" s="122" t="str">
        <f>INDEX(F3:F$11,MATCH($C26,성명,0))&amp;IFERROR(INDEX(F$3:F$11,MATCH($D26,성명,0)),"")</f>
        <v>장영대</v>
      </c>
      <c r="G14" s="122" t="str">
        <f>INDEX(G3:G$11,MATCH($C26,성명,0))&amp;IFERROR(INDEX(G$3:G$11,MATCH($D26,성명,0)),"")</f>
        <v>장영대</v>
      </c>
      <c r="H14" s="122" t="str">
        <f>INDEX(H3:H$11,MATCH($C26,성명,0))&amp;IFERROR(INDEX(H$3:H$11,MATCH($D26,성명,0)),"")</f>
        <v>김대화</v>
      </c>
      <c r="I14" s="122" t="str">
        <f>INDEX(I3:I$11,MATCH($C26,성명,0))&amp;IFERROR(INDEX(I$3:I$11,MATCH($D26,성명,0)),"")</f>
        <v>김대화</v>
      </c>
      <c r="J14" s="122" t="str">
        <f>INDEX(J3:J$11,MATCH($C26,성명,0))&amp;IFERROR(INDEX(J$3:J$11,MATCH($D26,성명,0)),"")</f>
        <v>김대화</v>
      </c>
      <c r="K14" s="122" t="str">
        <f>INDEX(K3:K$11,MATCH($C26,성명,0))&amp;IFERROR(INDEX(K$3:K$11,MATCH($D26,성명,0)),"")</f>
        <v>장영대김대화</v>
      </c>
      <c r="L14" s="122" t="str">
        <f>INDEX(L3:L$11,MATCH($C26,성명,0))&amp;IFERROR(INDEX(L$3:L$11,MATCH($D26,성명,0)),"")</f>
        <v>장영대</v>
      </c>
      <c r="M14" s="122" t="str">
        <f>INDEX(M3:M$11,MATCH($C26,성명,0))&amp;IFERROR(INDEX(M$3:M$11,MATCH($D26,성명,0)),"")</f>
        <v>장영대</v>
      </c>
      <c r="N14" s="122" t="str">
        <f>INDEX(N3:N$11,MATCH($C26,성명,0))&amp;IFERROR(INDEX(N$3:N$11,MATCH($D26,성명,0)),"")</f>
        <v>장영대</v>
      </c>
      <c r="O14" s="122" t="str">
        <f>INDEX(O3:O$11,MATCH($C26,성명,0))&amp;IFERROR(INDEX(O$3:O$11,MATCH($D26,성명,0)),"")</f>
        <v>김대화</v>
      </c>
      <c r="P14" s="122" t="str">
        <f>INDEX(P3:P$11,MATCH($C26,성명,0))&amp;IFERROR(INDEX(P$3:P$11,MATCH($D26,성명,0)),"")</f>
        <v>김대화</v>
      </c>
      <c r="Q14" s="122" t="str">
        <f>INDEX(Q3:Q$11,MATCH($C26,성명,0))&amp;IFERROR(INDEX(Q$3:Q$11,MATCH($D26,성명,0)),"")</f>
        <v>김대화</v>
      </c>
      <c r="R14" s="122" t="str">
        <f>INDEX(R3:R$11,MATCH($C26,성명,0))&amp;IFERROR(INDEX(R$3:R$11,MATCH($D26,성명,0)),"")</f>
        <v>장영대김대화</v>
      </c>
      <c r="S14" s="122" t="str">
        <f>INDEX(S3:S$11,MATCH($C26,성명,0))&amp;IFERROR(INDEX(S$3:S$11,MATCH($D26,성명,0)),"")</f>
        <v>장영대김대화</v>
      </c>
      <c r="T14" s="122" t="str">
        <f>INDEX(T3:T$11,MATCH($C26,성명,0))&amp;IFERROR(INDEX(T$3:T$11,MATCH($D26,성명,0)),"")</f>
        <v>장영대</v>
      </c>
      <c r="U14" s="122" t="str">
        <f>INDEX(U3:U$11,MATCH($C26,성명,0))&amp;IFERROR(INDEX(U$3:U$11,MATCH($D26,성명,0)),"")</f>
        <v>장영대</v>
      </c>
      <c r="V14" s="122" t="str">
        <f>INDEX(V3:V$11,MATCH($C26,성명,0))&amp;IFERROR(INDEX(V$3:V$11,MATCH($D26,성명,0)),"")</f>
        <v>김대화</v>
      </c>
      <c r="W14" s="122" t="str">
        <f>INDEX(W3:W$11,MATCH($C26,성명,0))&amp;IFERROR(INDEX(W$3:W$11,MATCH($D26,성명,0)),"")</f>
        <v>김대화</v>
      </c>
      <c r="X14" s="122" t="str">
        <f>INDEX(X3:X$11,MATCH($C26,성명,0))&amp;IFERROR(INDEX(X$3:X$11,MATCH($D26,성명,0)),"")</f>
        <v>김대화</v>
      </c>
      <c r="Y14" s="122" t="str">
        <f>INDEX(Y3:Y$11,MATCH($C26,성명,0))&amp;IFERROR(INDEX(Y$3:Y$11,MATCH($D26,성명,0)),"")</f>
        <v>장영대김대화</v>
      </c>
      <c r="Z14" s="122" t="str">
        <f>INDEX(Z3:Z$11,MATCH($C26,성명,0))&amp;IFERROR(INDEX(Z$3:Z$11,MATCH($D26,성명,0)),"")</f>
        <v>장영대김대화</v>
      </c>
      <c r="AA14" s="122" t="str">
        <f>INDEX(AA3:AA$11,MATCH($C26,성명,0))&amp;IFERROR(INDEX(AA$3:AA$11,MATCH($D26,성명,0)),"")</f>
        <v>장영대</v>
      </c>
      <c r="AB14" s="122" t="str">
        <f>INDEX(AB3:AB$11,MATCH($C26,성명,0))&amp;IFERROR(INDEX(AB$3:AB$11,MATCH($D26,성명,0)),"")</f>
        <v>장영대</v>
      </c>
      <c r="AC14" s="122" t="str">
        <f>INDEX(AC3:AC$11,MATCH($C26,성명,0))&amp;IFERROR(INDEX(AC$3:AC$11,MATCH($D26,성명,0)),"")</f>
        <v>장영대김대화</v>
      </c>
      <c r="AD14" s="122" t="str">
        <f>INDEX(AD3:AD$11,MATCH($C26,성명,0))&amp;IFERROR(INDEX(AD$3:AD$11,MATCH($D26,성명,0)),"")</f>
        <v>김대화</v>
      </c>
      <c r="AE14" s="122" t="str">
        <f>INDEX(AE3:AE$11,MATCH($C26,성명,0))&amp;IFERROR(INDEX(AE$3:AE$11,MATCH($D26,성명,0)),"")</f>
        <v>김대화</v>
      </c>
      <c r="AF14" s="122" t="str">
        <f>INDEX(AF3:AF$11,MATCH($C26,성명,0))&amp;IFERROR(INDEX(AF$3:AF$11,MATCH($D26,성명,0)),"")</f>
        <v>장영대김대화</v>
      </c>
      <c r="AG14" s="122" t="str">
        <f>INDEX(AG3:AG$11,MATCH($C26,성명,0))&amp;IFERROR(INDEX(AG$3:AG$11,MATCH($D26,성명,0)),"")</f>
        <v>장영대김대화</v>
      </c>
      <c r="AH14" s="122" t="str">
        <f>INDEX(AH3:AH$11,MATCH($C26,성명,0))&amp;IFERROR(INDEX(AH$3:AH$11,MATCH($D26,성명,0)),"")</f>
        <v>장영대</v>
      </c>
      <c r="AL14" s="128"/>
      <c r="AM14" s="128"/>
    </row>
    <row r="15" spans="2:39" hidden="1" x14ac:dyDescent="0.25">
      <c r="C15" s="126" t="str">
        <f>C27&amp;D27</f>
        <v>안성용</v>
      </c>
      <c r="D15" s="122" t="str">
        <f t="shared" ref="D15:AH15" si="2">INDEX(D$3:D$11,MATCH($C27,성명,0))&amp;IFERROR(INDEX(D$3:D$11,MATCH($D27,성명,0)),"")&amp;IF(D$13=$F$38,$G$38,IF(D$13=$F$39,$G$39,IF(D$13=$F$40,$G$40,IF(D$13=$F$41,$G$41,
IF(D$13=$F$42,$G$42,IF(D$13=$F$43,$G$43,IF(D$13=$F$44,$G$44,IF(D$13=$F$45,$G$45,IF(D$13=$F$46,$G$46,IF(D$13=$F$47,$G$47,
IF(D$13=$F$48,$G$48,IF(D$13=$F$49,$G$49,""))))))))))))</f>
        <v/>
      </c>
      <c r="E15" s="122" t="str">
        <f t="shared" si="2"/>
        <v/>
      </c>
      <c r="F15" s="122" t="str">
        <f t="shared" si="2"/>
        <v>안성용</v>
      </c>
      <c r="G15" s="122" t="str">
        <f t="shared" si="2"/>
        <v>안성용</v>
      </c>
      <c r="H15" s="122" t="str">
        <f t="shared" si="2"/>
        <v>안성용</v>
      </c>
      <c r="I15" s="122" t="str">
        <f t="shared" si="2"/>
        <v>안성용</v>
      </c>
      <c r="J15" s="122" t="str">
        <f t="shared" si="2"/>
        <v/>
      </c>
      <c r="K15" s="122" t="str">
        <f t="shared" si="2"/>
        <v/>
      </c>
      <c r="L15" s="122" t="str">
        <f t="shared" si="2"/>
        <v/>
      </c>
      <c r="M15" s="122" t="str">
        <f t="shared" si="2"/>
        <v>안성용</v>
      </c>
      <c r="N15" s="122" t="str">
        <f t="shared" si="2"/>
        <v>안성용</v>
      </c>
      <c r="O15" s="122" t="str">
        <f t="shared" si="2"/>
        <v>안성용</v>
      </c>
      <c r="P15" s="122" t="str">
        <f t="shared" si="2"/>
        <v>안성용</v>
      </c>
      <c r="Q15" s="122" t="str">
        <f t="shared" si="2"/>
        <v>안성용</v>
      </c>
      <c r="R15" s="122" t="str">
        <f t="shared" si="2"/>
        <v/>
      </c>
      <c r="S15" s="122" t="str">
        <f t="shared" si="2"/>
        <v/>
      </c>
      <c r="T15" s="122" t="str">
        <f t="shared" si="2"/>
        <v>안성용</v>
      </c>
      <c r="U15" s="122" t="str">
        <f t="shared" si="2"/>
        <v>안성용</v>
      </c>
      <c r="V15" s="122" t="str">
        <f t="shared" si="2"/>
        <v>안성용</v>
      </c>
      <c r="W15" s="122" t="str">
        <f t="shared" si="2"/>
        <v>안성용</v>
      </c>
      <c r="X15" s="122" t="str">
        <f t="shared" si="2"/>
        <v>안성용</v>
      </c>
      <c r="Y15" s="122" t="str">
        <f t="shared" si="2"/>
        <v/>
      </c>
      <c r="Z15" s="122" t="str">
        <f t="shared" si="2"/>
        <v/>
      </c>
      <c r="AA15" s="122" t="str">
        <f t="shared" si="2"/>
        <v>안성용</v>
      </c>
      <c r="AB15" s="122" t="str">
        <f t="shared" si="2"/>
        <v>안성용</v>
      </c>
      <c r="AC15" s="122" t="str">
        <f t="shared" si="2"/>
        <v>안성용</v>
      </c>
      <c r="AD15" s="122" t="str">
        <f t="shared" si="2"/>
        <v>안성용</v>
      </c>
      <c r="AE15" s="122" t="str">
        <f t="shared" si="2"/>
        <v>안성용</v>
      </c>
      <c r="AF15" s="122" t="str">
        <f t="shared" si="2"/>
        <v/>
      </c>
      <c r="AG15" s="122" t="str">
        <f t="shared" si="2"/>
        <v/>
      </c>
      <c r="AH15" s="122" t="str">
        <f t="shared" si="2"/>
        <v>안성용</v>
      </c>
      <c r="AL15" s="121"/>
      <c r="AM15" s="121"/>
    </row>
    <row r="16" spans="2:39" hidden="1" x14ac:dyDescent="0.25">
      <c r="C16" s="126" t="str">
        <f>C28&amp;D28</f>
        <v>오광웅김제원</v>
      </c>
      <c r="D16" s="122" t="str">
        <f t="shared" ref="D16:AH16" si="3">INDEX(D$3:D$11,MATCH($C$28,성명,0))&amp;IFERROR(INDEX(D$3:D$11,MATCH($D$28,성명,0)),"")</f>
        <v/>
      </c>
      <c r="E16" s="122" t="str">
        <f t="shared" si="3"/>
        <v>김제원</v>
      </c>
      <c r="F16" s="122" t="str">
        <f t="shared" si="3"/>
        <v>김제원</v>
      </c>
      <c r="G16" s="122" t="str">
        <f t="shared" si="3"/>
        <v>오광웅김제원</v>
      </c>
      <c r="H16" s="122" t="str">
        <f t="shared" si="3"/>
        <v>오광웅김제원</v>
      </c>
      <c r="I16" s="122" t="str">
        <f t="shared" si="3"/>
        <v>오광웅</v>
      </c>
      <c r="J16" s="122" t="str">
        <f t="shared" si="3"/>
        <v>오광웅</v>
      </c>
      <c r="K16" s="122" t="str">
        <f t="shared" si="3"/>
        <v/>
      </c>
      <c r="L16" s="122" t="str">
        <f t="shared" si="3"/>
        <v>김제원</v>
      </c>
      <c r="M16" s="122" t="str">
        <f t="shared" si="3"/>
        <v>김제원</v>
      </c>
      <c r="N16" s="122" t="str">
        <f t="shared" si="3"/>
        <v>오광웅김제원</v>
      </c>
      <c r="O16" s="122" t="str">
        <f t="shared" si="3"/>
        <v>오광웅김제원</v>
      </c>
      <c r="P16" s="122" t="str">
        <f t="shared" si="3"/>
        <v>오광웅</v>
      </c>
      <c r="Q16" s="122" t="str">
        <f t="shared" si="3"/>
        <v>오광웅</v>
      </c>
      <c r="R16" s="122" t="str">
        <f t="shared" si="3"/>
        <v/>
      </c>
      <c r="S16" s="122" t="str">
        <f t="shared" si="3"/>
        <v/>
      </c>
      <c r="T16" s="122" t="str">
        <f t="shared" si="3"/>
        <v>오광웅김제원</v>
      </c>
      <c r="U16" s="122" t="str">
        <f t="shared" si="3"/>
        <v>김제원</v>
      </c>
      <c r="V16" s="122" t="str">
        <f t="shared" si="3"/>
        <v>김제원</v>
      </c>
      <c r="W16" s="122" t="str">
        <f t="shared" si="3"/>
        <v>오광웅</v>
      </c>
      <c r="X16" s="122" t="str">
        <f t="shared" si="3"/>
        <v>오광웅</v>
      </c>
      <c r="Y16" s="122" t="str">
        <f t="shared" si="3"/>
        <v/>
      </c>
      <c r="Z16" s="122" t="str">
        <f t="shared" si="3"/>
        <v>김제원</v>
      </c>
      <c r="AA16" s="122" t="str">
        <f t="shared" si="3"/>
        <v>김제원</v>
      </c>
      <c r="AB16" s="122" t="str">
        <f t="shared" si="3"/>
        <v>오광웅김제원</v>
      </c>
      <c r="AC16" s="122" t="str">
        <f t="shared" si="3"/>
        <v>오광웅김제원</v>
      </c>
      <c r="AD16" s="122" t="str">
        <f t="shared" si="3"/>
        <v>오광웅</v>
      </c>
      <c r="AE16" s="122" t="str">
        <f t="shared" si="3"/>
        <v>오광웅</v>
      </c>
      <c r="AF16" s="122" t="str">
        <f t="shared" si="3"/>
        <v/>
      </c>
      <c r="AG16" s="122" t="str">
        <f t="shared" si="3"/>
        <v>김제원</v>
      </c>
      <c r="AH16" s="122" t="str">
        <f t="shared" si="3"/>
        <v>김제원</v>
      </c>
      <c r="AL16" s="121"/>
      <c r="AM16" s="121"/>
    </row>
    <row r="17" spans="2:39" hidden="1" x14ac:dyDescent="0.25">
      <c r="C17" s="126" t="str">
        <f>C29&amp;D29</f>
        <v>위선옥</v>
      </c>
      <c r="D17" s="122" t="str">
        <f t="shared" ref="D17:AH17" si="4">INDEX(D$3:D$11, MATCH($C$29, 성명, 0)) &amp; IFERROR(INDEX(D$3:D$11, MATCH($D$29, 성명, 0)), "") &amp;
IF(D$13=$B$38, $C$38,
    IF(D$13=$B$39, $C$39,
        IF(D$13=$B$40, $C$40,
            IF(D$13=$B$41, $C$41,
                IF(D$13=$B$42, $C$42,
                    IF(D$13=$B$43, $C$43,
                        IF(D$13=$B$44, $C$44,
                            IF(D$13=$B$45, $C$45,
                                IF(D$13=$B$46, $C$46,
                                    IF(D$13=$B$47, $C$47,
                                        IF(D$13=$B$48, $C$48,
                                            IF(D$13=$B$49, $C$49, "")
                                        )
                                    )
                                )
                            )
                        )
                    )
                )
            )
        )
    )
)</f>
        <v>위선옥</v>
      </c>
      <c r="E17" s="122" t="str">
        <f t="shared" si="4"/>
        <v>위선옥</v>
      </c>
      <c r="F17" s="122" t="str">
        <f t="shared" si="4"/>
        <v>위선옥</v>
      </c>
      <c r="G17" s="122" t="str">
        <f t="shared" si="4"/>
        <v/>
      </c>
      <c r="H17" s="122" t="str">
        <f t="shared" si="4"/>
        <v/>
      </c>
      <c r="I17" s="122" t="str">
        <f t="shared" si="4"/>
        <v/>
      </c>
      <c r="J17" s="122" t="str">
        <f t="shared" si="4"/>
        <v>위선옥</v>
      </c>
      <c r="K17" s="122" t="str">
        <f t="shared" si="4"/>
        <v>위선옥</v>
      </c>
      <c r="L17" s="122" t="str">
        <f t="shared" si="4"/>
        <v>위선옥</v>
      </c>
      <c r="M17" s="122" t="str">
        <f t="shared" si="4"/>
        <v/>
      </c>
      <c r="N17" s="122" t="str">
        <f t="shared" si="4"/>
        <v/>
      </c>
      <c r="O17" s="122" t="str">
        <f t="shared" si="4"/>
        <v/>
      </c>
      <c r="P17" s="122" t="str">
        <f t="shared" si="4"/>
        <v/>
      </c>
      <c r="Q17" s="122" t="str">
        <f t="shared" si="4"/>
        <v/>
      </c>
      <c r="R17" s="122" t="str">
        <f t="shared" si="4"/>
        <v/>
      </c>
      <c r="S17" s="122" t="str">
        <f t="shared" si="4"/>
        <v/>
      </c>
      <c r="T17" s="122" t="str">
        <f t="shared" si="4"/>
        <v/>
      </c>
      <c r="U17" s="122" t="str">
        <f t="shared" si="4"/>
        <v>오광웅(4)</v>
      </c>
      <c r="V17" s="122" t="str">
        <f t="shared" si="4"/>
        <v/>
      </c>
      <c r="W17" s="122" t="str">
        <f t="shared" si="4"/>
        <v/>
      </c>
      <c r="X17" s="122" t="str">
        <f t="shared" si="4"/>
        <v/>
      </c>
      <c r="Y17" s="122" t="str">
        <f t="shared" si="4"/>
        <v/>
      </c>
      <c r="Z17" s="122" t="str">
        <f t="shared" si="4"/>
        <v/>
      </c>
      <c r="AA17" s="122" t="str">
        <f t="shared" si="4"/>
        <v/>
      </c>
      <c r="AB17" s="122" t="str">
        <f t="shared" si="4"/>
        <v/>
      </c>
      <c r="AC17" s="122" t="str">
        <f t="shared" si="4"/>
        <v/>
      </c>
      <c r="AD17" s="122" t="str">
        <f t="shared" si="4"/>
        <v/>
      </c>
      <c r="AE17" s="122" t="str">
        <f t="shared" si="4"/>
        <v/>
      </c>
      <c r="AF17" s="122" t="str">
        <f t="shared" si="4"/>
        <v/>
      </c>
      <c r="AG17" s="122" t="str">
        <f t="shared" si="4"/>
        <v/>
      </c>
      <c r="AH17" s="122" t="str">
        <f t="shared" si="4"/>
        <v/>
      </c>
      <c r="AL17" s="121"/>
      <c r="AM17" s="121"/>
    </row>
    <row r="18" spans="2:39" ht="16.2" hidden="1" thickBot="1" x14ac:dyDescent="0.3">
      <c r="C18" s="130" t="str">
        <f>C30&amp;D30</f>
        <v>한영희신대진</v>
      </c>
      <c r="D18" s="131" t="str" cm="1">
        <f t="array" ref="D18">IF(D$13=$F$26, $G$26,
  IF(D$13=$F$27, $G$27,
    IF(D$13=$F$28, $G$28,
      IF(D$13=$F$29, $G$29,
        IF(D$13=$F$30, $G$30,
          IF(D$13=$F$31, $G$31, IF(D$13=$F$32, $G$32, IF(D$13=$F$33, $G$33,
            IF(MOD(
              SUMPRODUCT(--($D$13:D13&lt;&gt;""), --($D$13:D13&lt;&gt;$F$26), --($D$13:D13&lt;&gt;$F$27), --($D$13:D13&lt;&gt;$F$28), --($D$13:D13&lt;&gt;$F$29), --($D$13:D13&lt;&gt;$F$30), --($D$13:D13&lt;&gt;$F$31), --($D$13:D13&lt;&gt;$F$32), --($D$13:D13&lt;&gt;$F$33)) - 1, 4) &lt; 2,
              $C$30,
              $D$30
            )
          )
        )
      )
    )
  )
)))</f>
        <v>한영희</v>
      </c>
      <c r="E18" s="131" t="str" cm="1">
        <f t="array" ref="E18">IF(E$13=$F$26, $G$26,
  IF(E$13=$F$27, $G$27,
    IF(E$13=$F$28, $G$28,
      IF(E$13=$F$29, $G$29,
        IF(E$13=$F$30, $G$30,
          IF(E$13=$F$31, $G$31, IF(E$13=$F$32, $G$32, IF(E$13=$F$33, $G$33,
            IF(MOD(
              SUMPRODUCT(--($D$13:E13&lt;&gt;""), --($D$13:E13&lt;&gt;$F$26), --($D$13:E13&lt;&gt;$F$27), --($D$13:E13&lt;&gt;$F$28), --($D$13:E13&lt;&gt;$F$29), --($D$13:E13&lt;&gt;$F$30), --($D$13:E13&lt;&gt;$F$31), --($D$13:E13&lt;&gt;$F$32), --($D$13:E13&lt;&gt;$F$33)) - 1, 4) &lt; 2,
              $C$30,
              $D$30
            )
          )
        )
      )
    )
  )
)))</f>
        <v>한영희</v>
      </c>
      <c r="F18" s="131" t="str" cm="1">
        <f t="array" ref="F18">IF(F$13=$F$26, $G$26,
  IF(F$13=$F$27, $G$27,
    IF(F$13=$F$28, $G$28,
      IF(F$13=$F$29, $G$29,
        IF(F$13=$F$30, $G$30,
          IF(F$13=$F$31, $G$31, IF(F$13=$F$32, $G$32, IF(F$13=$F$33, $G$33,
            IF(MOD(
              SUMPRODUCT(--($D$13:F13&lt;&gt;""), --($D$13:F13&lt;&gt;$F$26), --($D$13:F13&lt;&gt;$F$27), --($D$13:F13&lt;&gt;$F$28), --($D$13:F13&lt;&gt;$F$29), --($D$13:F13&lt;&gt;$F$30), --($D$13:F13&lt;&gt;$F$31), --($D$13:F13&lt;&gt;$F$32), --($D$13:F13&lt;&gt;$F$33)) - 1, 4) &lt; 2,
              $C$30,
              $D$30
            )
          )
        )
      )
    )
  )
)))</f>
        <v>신대진</v>
      </c>
      <c r="G18" s="131" t="str" cm="1">
        <f t="array" ref="G18">IF(G$13=$F$26, $G$26,
  IF(G$13=$F$27, $G$27,
    IF(G$13=$F$28, $G$28,
      IF(G$13=$F$29, $G$29,
        IF(G$13=$F$30, $G$30,
          IF(G$13=$F$31, $G$31, IF(G$13=$F$32, $G$32, IF(G$13=$F$33, $G$33,
            IF(MOD(
              SUMPRODUCT(--($D$13:G13&lt;&gt;""), --($D$13:G13&lt;&gt;$F$26), --($D$13:G13&lt;&gt;$F$27), --($D$13:G13&lt;&gt;$F$28), --($D$13:G13&lt;&gt;$F$29), --($D$13:G13&lt;&gt;$F$30), --($D$13:G13&lt;&gt;$F$31), --($D$13:G13&lt;&gt;$F$32), --($D$13:G13&lt;&gt;$F$33)) - 1, 4) &lt; 2,
              $C$30,
              $D$30
            )
          )
        )
      )
    )
  )
)))</f>
        <v>신대진</v>
      </c>
      <c r="H18" s="131" t="str" cm="1">
        <f t="array" ref="H18">IF(H$13=$F$26, $G$26,
  IF(H$13=$F$27, $G$27,
    IF(H$13=$F$28, $G$28,
      IF(H$13=$F$29, $G$29,
        IF(H$13=$F$30, $G$30,
          IF(H$13=$F$31, $G$31, IF(H$13=$F$32, $G$32, IF(H$13=$F$33, $G$33,
            IF(MOD(
              SUMPRODUCT(--($D$13:H13&lt;&gt;""), --($D$13:H13&lt;&gt;$F$26), --($D$13:H13&lt;&gt;$F$27), --($D$13:H13&lt;&gt;$F$28), --($D$13:H13&lt;&gt;$F$29), --($D$13:H13&lt;&gt;$F$30), --($D$13:H13&lt;&gt;$F$31), --($D$13:H13&lt;&gt;$F$32), --($D$13:H13&lt;&gt;$F$33)) - 1, 4) &lt; 2,
              $C$30,
              $D$30
            )
          )
        )
      )
    )
  )
)))</f>
        <v>한영희</v>
      </c>
      <c r="I18" s="131" t="str" cm="1">
        <f t="array" ref="I18">IF(I$13=$F$26, $G$26,
  IF(I$13=$F$27, $G$27,
    IF(I$13=$F$28, $G$28,
      IF(I$13=$F$29, $G$29,
        IF(I$13=$F$30, $G$30,
          IF(I$13=$F$31, $G$31, IF(I$13=$F$32, $G$32, IF(I$13=$F$33, $G$33,
            IF(MOD(
              SUMPRODUCT(--($D$13:I13&lt;&gt;""), --($D$13:I13&lt;&gt;$F$26), --($D$13:I13&lt;&gt;$F$27), --($D$13:I13&lt;&gt;$F$28), --($D$13:I13&lt;&gt;$F$29), --($D$13:I13&lt;&gt;$F$30), --($D$13:I13&lt;&gt;$F$31), --($D$13:I13&lt;&gt;$F$32), --($D$13:I13&lt;&gt;$F$33)) - 1, 4) &lt; 2,
              $C$30,
              $D$30
            )
          )
        )
      )
    )
  )
)))</f>
        <v>한영희</v>
      </c>
      <c r="J18" s="131" t="str" cm="1">
        <f t="array" ref="J18">IF(J$13=$F$26, $G$26,
  IF(J$13=$F$27, $G$27,
    IF(J$13=$F$28, $G$28,
      IF(J$13=$F$29, $G$29,
        IF(J$13=$F$30, $G$30,
          IF(J$13=$F$31, $G$31, IF(J$13=$F$32, $G$32, IF(J$13=$F$33, $G$33,
            IF(MOD(
              SUMPRODUCT(--($D$13:J13&lt;&gt;""), --($D$13:J13&lt;&gt;$F$26), --($D$13:J13&lt;&gt;$F$27), --($D$13:J13&lt;&gt;$F$28), --($D$13:J13&lt;&gt;$F$29), --($D$13:J13&lt;&gt;$F$30), --($D$13:J13&lt;&gt;$F$31), --($D$13:J13&lt;&gt;$F$32), --($D$13:J13&lt;&gt;$F$33)) - 1, 4) &lt; 2,
              $C$30,
              $D$30
            )
          )
        )
      )
    )
  )
)))</f>
        <v>신대진</v>
      </c>
      <c r="K18" s="131" t="str" cm="1">
        <f t="array" ref="K18">IF(K$13=$F$26, $G$26,
  IF(K$13=$F$27, $G$27,
    IF(K$13=$F$28, $G$28,
      IF(K$13=$F$29, $G$29,
        IF(K$13=$F$30, $G$30,
          IF(K$13=$F$31, $G$31, IF(K$13=$F$32, $G$32, IF(K$13=$F$33, $G$33,
            IF(MOD(
              SUMPRODUCT(--($D$13:K13&lt;&gt;""), --($D$13:K13&lt;&gt;$F$26), --($D$13:K13&lt;&gt;$F$27), --($D$13:K13&lt;&gt;$F$28), --($D$13:K13&lt;&gt;$F$29), --($D$13:K13&lt;&gt;$F$30), --($D$13:K13&lt;&gt;$F$31), --($D$13:K13&lt;&gt;$F$32), --($D$13:K13&lt;&gt;$F$33)) - 1, 4) &lt; 2,
              $C$30,
              $D$30
            )
          )
        )
      )
    )
  )
)))</f>
        <v>오광웅</v>
      </c>
      <c r="L18" s="131" t="str" cm="1">
        <f t="array" ref="L18">IF(L$13=$F$26, $G$26,
  IF(L$13=$F$27, $G$27,
    IF(L$13=$F$28, $G$28,
      IF(L$13=$F$29, $G$29,
        IF(L$13=$F$30, $G$30,
          IF(L$13=$F$31, $G$31, IF(L$13=$F$32, $G$32, IF(L$13=$F$33, $G$33,
            IF(MOD(
              SUMPRODUCT(--($D$13:L13&lt;&gt;""), --($D$13:L13&lt;&gt;$F$26), --($D$13:L13&lt;&gt;$F$27), --($D$13:L13&lt;&gt;$F$28), --($D$13:L13&lt;&gt;$F$29), --($D$13:L13&lt;&gt;$F$30), --($D$13:L13&lt;&gt;$F$31), --($D$13:L13&lt;&gt;$F$32), --($D$13:L13&lt;&gt;$F$33)) - 1, 4) &lt; 2,
              $C$30,
              $D$30
            )
          )
        )
      )
    )
  )
)))</f>
        <v>신대진</v>
      </c>
      <c r="M18" s="131" t="str" cm="1">
        <f t="array" ref="M18">IF(M$13=$F$26, $G$26,
  IF(M$13=$F$27, $G$27,
    IF(M$13=$F$28, $G$28,
      IF(M$13=$F$29, $G$29,
        IF(M$13=$F$30, $G$30,
          IF(M$13=$F$31, $G$31, IF(M$13=$F$32, $G$32, IF(M$13=$F$33, $G$33,
            IF(MOD(
              SUMPRODUCT(--($D$13:M13&lt;&gt;""), --($D$13:M13&lt;&gt;$F$26), --($D$13:M13&lt;&gt;$F$27), --($D$13:M13&lt;&gt;$F$28), --($D$13:M13&lt;&gt;$F$29), --($D$13:M13&lt;&gt;$F$30), --($D$13:M13&lt;&gt;$F$31), --($D$13:M13&lt;&gt;$F$32), --($D$13:M13&lt;&gt;$F$33)) - 1, 4) &lt; 2,
              $C$30,
              $D$30
            )
          )
        )
      )
    )
  )
)))</f>
        <v>한영희</v>
      </c>
      <c r="N18" s="131" t="str" cm="1">
        <f t="array" ref="N18">IF(N$13=$F$26, $G$26,
  IF(N$13=$F$27, $G$27,
    IF(N$13=$F$28, $G$28,
      IF(N$13=$F$29, $G$29,
        IF(N$13=$F$30, $G$30,
          IF(N$13=$F$31, $G$31, IF(N$13=$F$32, $G$32, IF(N$13=$F$33, $G$33,
            IF(MOD(
              SUMPRODUCT(--($D$13:N13&lt;&gt;""), --($D$13:N13&lt;&gt;$F$26), --($D$13:N13&lt;&gt;$F$27), --($D$13:N13&lt;&gt;$F$28), --($D$13:N13&lt;&gt;$F$29), --($D$13:N13&lt;&gt;$F$30), --($D$13:N13&lt;&gt;$F$31), --($D$13:N13&lt;&gt;$F$32), --($D$13:N13&lt;&gt;$F$33)) - 1, 4) &lt; 2,
              $C$30,
              $D$30
            )
          )
        )
      )
    )
  )
)))</f>
        <v>한영희</v>
      </c>
      <c r="O18" s="131" t="str" cm="1">
        <f t="array" ref="O18">IF(O$13=$F$26, $G$26,
  IF(O$13=$F$27, $G$27,
    IF(O$13=$F$28, $G$28,
      IF(O$13=$F$29, $G$29,
        IF(O$13=$F$30, $G$30,
          IF(O$13=$F$31, $G$31, IF(O$13=$F$32, $G$32, IF(O$13=$F$33, $G$33,
            IF(MOD(
              SUMPRODUCT(--($D$13:O13&lt;&gt;""), --($D$13:O13&lt;&gt;$F$26), --($D$13:O13&lt;&gt;$F$27), --($D$13:O13&lt;&gt;$F$28), --($D$13:O13&lt;&gt;$F$29), --($D$13:O13&lt;&gt;$F$30), --($D$13:O13&lt;&gt;$F$31), --($D$13:O13&lt;&gt;$F$32), --($D$13:O13&lt;&gt;$F$33)) - 1, 4) &lt; 2,
              $C$30,
              $D$30
            )
          )
        )
      )
    )
  )
)))</f>
        <v>신대진</v>
      </c>
      <c r="P18" s="131" t="str" cm="1">
        <f t="array" ref="P18">IF(P$13=$F$26, $G$26,
  IF(P$13=$F$27, $G$27,
    IF(P$13=$F$28, $G$28,
      IF(P$13=$F$29, $G$29,
        IF(P$13=$F$30, $G$30,
          IF(P$13=$F$31, $G$31, IF(P$13=$F$32, $G$32, IF(P$13=$F$33, $G$33,
            IF(MOD(
              SUMPRODUCT(--($D$13:P13&lt;&gt;""), --($D$13:P13&lt;&gt;$F$26), --($D$13:P13&lt;&gt;$F$27), --($D$13:P13&lt;&gt;$F$28), --($D$13:P13&lt;&gt;$F$29), --($D$13:P13&lt;&gt;$F$30), --($D$13:P13&lt;&gt;$F$31), --($D$13:P13&lt;&gt;$F$32), --($D$13:P13&lt;&gt;$F$33)) - 1, 4) &lt; 2,
              $C$30,
              $D$30
            )
          )
        )
      )
    )
  )
)))</f>
        <v>김제원</v>
      </c>
      <c r="Q18" s="131" t="str" cm="1">
        <f t="array" ref="Q18">IF(Q$13=$F$26, $G$26,
  IF(Q$13=$F$27, $G$27,
    IF(Q$13=$F$28, $G$28,
      IF(Q$13=$F$29, $G$29,
        IF(Q$13=$F$30, $G$30,
          IF(Q$13=$F$31, $G$31, IF(Q$13=$F$32, $G$32, IF(Q$13=$F$33, $G$33,
            IF(MOD(
              SUMPRODUCT(--($D$13:Q13&lt;&gt;""), --($D$13:Q13&lt;&gt;$F$26), --($D$13:Q13&lt;&gt;$F$27), --($D$13:Q13&lt;&gt;$F$28), --($D$13:Q13&lt;&gt;$F$29), --($D$13:Q13&lt;&gt;$F$30), --($D$13:Q13&lt;&gt;$F$31), --($D$13:Q13&lt;&gt;$F$32), --($D$13:Q13&lt;&gt;$F$33)) - 1, 4) &lt; 2,
              $C$30,
              $D$30
            )
          )
        )
      )
    )
  )
)))</f>
        <v>신대진</v>
      </c>
      <c r="R18" s="131" t="str" cm="1">
        <f t="array" ref="R18">IF(R$13=$F$26, $G$26,
  IF(R$13=$F$27, $G$27,
    IF(R$13=$F$28, $G$28,
      IF(R$13=$F$29, $G$29,
        IF(R$13=$F$30, $G$30,
          IF(R$13=$F$31, $G$31, IF(R$13=$F$32, $G$32, IF(R$13=$F$33, $G$33,
            IF(MOD(
              SUMPRODUCT(--($D$13:R13&lt;&gt;""), --($D$13:R13&lt;&gt;$F$26), --($D$13:R13&lt;&gt;$F$27), --($D$13:R13&lt;&gt;$F$28), --($D$13:R13&lt;&gt;$F$29), --($D$13:R13&lt;&gt;$F$30), --($D$13:R13&lt;&gt;$F$31), --($D$13:R13&lt;&gt;$F$32), --($D$13:R13&lt;&gt;$F$33)) - 1, 4) &lt; 2,
              $C$30,
              $D$30
            )
          )
        )
      )
    )
  )
)))</f>
        <v>오광웅</v>
      </c>
      <c r="S18" s="131" t="str" cm="1">
        <f t="array" ref="S18">IF(S$13=$F$26, $G$26,
  IF(S$13=$F$27, $G$27,
    IF(S$13=$F$28, $G$28,
      IF(S$13=$F$29, $G$29,
        IF(S$13=$F$30, $G$30,
          IF(S$13=$F$31, $G$31, IF(S$13=$F$32, $G$32, IF(S$13=$F$33, $G$33,
            IF(MOD(
              SUMPRODUCT(--($D$13:S13&lt;&gt;""), --($D$13:S13&lt;&gt;$F$26), --($D$13:S13&lt;&gt;$F$27), --($D$13:S13&lt;&gt;$F$28), --($D$13:S13&lt;&gt;$F$29), --($D$13:S13&lt;&gt;$F$30), --($D$13:S13&lt;&gt;$F$31), --($D$13:S13&lt;&gt;$F$32), --($D$13:S13&lt;&gt;$F$33)) - 1, 4) &lt; 2,
              $C$30,
              $D$30
            )
          )
        )
      )
    )
  )
)))</f>
        <v>한영희</v>
      </c>
      <c r="T18" s="131" t="str" cm="1">
        <f t="array" ref="T18">IF(T$13=$F$26, $G$26,
  IF(T$13=$F$27, $G$27,
    IF(T$13=$F$28, $G$28,
      IF(T$13=$F$29, $G$29,
        IF(T$13=$F$30, $G$30,
          IF(T$13=$F$31, $G$31, IF(T$13=$F$32, $G$32, IF(T$13=$F$33, $G$33,
            IF(MOD(
              SUMPRODUCT(--($D$13:T13&lt;&gt;""), --($D$13:T13&lt;&gt;$F$26), --($D$13:T13&lt;&gt;$F$27), --($D$13:T13&lt;&gt;$F$28), --($D$13:T13&lt;&gt;$F$29), --($D$13:T13&lt;&gt;$F$30), --($D$13:T13&lt;&gt;$F$31), --($D$13:T13&lt;&gt;$F$32), --($D$13:T13&lt;&gt;$F$33)) - 1, 4) &lt; 2,
              $C$30,
              $D$30
            )
          )
        )
      )
    )
  )
)))</f>
        <v>한영희</v>
      </c>
      <c r="U18" s="131" t="str" cm="1">
        <f t="array" ref="U18">IF(U$13=$F$26, $G$26,
  IF(U$13=$F$27, $G$27,
    IF(U$13=$F$28, $G$28,
      IF(U$13=$F$29, $G$29,
        IF(U$13=$F$30, $G$30,
          IF(U$13=$F$31, $G$31, IF(U$13=$F$32, $G$32, IF(U$13=$F$33, $G$33,
            IF(MOD(
              SUMPRODUCT(--($D$13:U13&lt;&gt;""), --($D$13:U13&lt;&gt;$F$26), --($D$13:U13&lt;&gt;$F$27), --($D$13:U13&lt;&gt;$F$28), --($D$13:U13&lt;&gt;$F$29), --($D$13:U13&lt;&gt;$F$30), --($D$13:U13&lt;&gt;$F$31), --($D$13:U13&lt;&gt;$F$32), --($D$13:U13&lt;&gt;$F$33)) - 1, 4) &lt; 2,
              $C$30,
              $D$30
            )
          )
        )
      )
    )
  )
)))</f>
        <v>신대진</v>
      </c>
      <c r="V18" s="131" t="str" cm="1">
        <f t="array" ref="V18">IF(V$13=$F$26, $G$26,
  IF(V$13=$F$27, $G$27,
    IF(V$13=$F$28, $G$28,
      IF(V$13=$F$29, $G$29,
        IF(V$13=$F$30, $G$30,
          IF(V$13=$F$31, $G$31, IF(V$13=$F$32, $G$32, IF(V$13=$F$33, $G$33,
            IF(MOD(
              SUMPRODUCT(--($D$13:V13&lt;&gt;""), --($D$13:V13&lt;&gt;$F$26), --($D$13:V13&lt;&gt;$F$27), --($D$13:V13&lt;&gt;$F$28), --($D$13:V13&lt;&gt;$F$29), --($D$13:V13&lt;&gt;$F$30), --($D$13:V13&lt;&gt;$F$31), --($D$13:V13&lt;&gt;$F$32), --($D$13:V13&lt;&gt;$F$33)) - 1, 4) &lt; 2,
              $C$30,
              $D$30
            )
          )
        )
      )
    )
  )
)))</f>
        <v>신대진</v>
      </c>
      <c r="W18" s="131" t="str" cm="1">
        <f t="array" ref="W18">IF(W$13=$F$26, $G$26,
  IF(W$13=$F$27, $G$27,
    IF(W$13=$F$28, $G$28,
      IF(W$13=$F$29, $G$29,
        IF(W$13=$F$30, $G$30,
          IF(W$13=$F$31, $G$31, IF(W$13=$F$32, $G$32, IF(W$13=$F$33, $G$33,
            IF(MOD(
              SUMPRODUCT(--($D$13:W13&lt;&gt;""), --($D$13:W13&lt;&gt;$F$26), --($D$13:W13&lt;&gt;$F$27), --($D$13:W13&lt;&gt;$F$28), --($D$13:W13&lt;&gt;$F$29), --($D$13:W13&lt;&gt;$F$30), --($D$13:W13&lt;&gt;$F$31), --($D$13:W13&lt;&gt;$F$32), --($D$13:W13&lt;&gt;$F$33)) - 1, 4) &lt; 2,
              $C$30,
              $D$30
            )
          )
        )
      )
    )
  )
)))</f>
        <v>한영희</v>
      </c>
      <c r="X18" s="131" t="str" cm="1">
        <f t="array" ref="X18">IF(X$13=$F$26, $G$26,
  IF(X$13=$F$27, $G$27,
    IF(X$13=$F$28, $G$28,
      IF(X$13=$F$29, $G$29,
        IF(X$13=$F$30, $G$30,
          IF(X$13=$F$31, $G$31, IF(X$13=$F$32, $G$32, IF(X$13=$F$33, $G$33,
            IF(MOD(
              SUMPRODUCT(--($D$13:X13&lt;&gt;""), --($D$13:X13&lt;&gt;$F$26), --($D$13:X13&lt;&gt;$F$27), --($D$13:X13&lt;&gt;$F$28), --($D$13:X13&lt;&gt;$F$29), --($D$13:X13&lt;&gt;$F$30), --($D$13:X13&lt;&gt;$F$31), --($D$13:X13&lt;&gt;$F$32), --($D$13:X13&lt;&gt;$F$33)) - 1, 4) &lt; 2,
              $C$30,
              $D$30
            )
          )
        )
      )
    )
  )
)))</f>
        <v>한영희</v>
      </c>
      <c r="Y18" s="131" t="str" cm="1">
        <f t="array" ref="Y18">IF(Y$13=$F$26, $G$26,
  IF(Y$13=$F$27, $G$27,
    IF(Y$13=$F$28, $G$28,
      IF(Y$13=$F$29, $G$29,
        IF(Y$13=$F$30, $G$30,
          IF(Y$13=$F$31, $G$31, IF(Y$13=$F$32, $G$32, IF(Y$13=$F$33, $G$33,
            IF(MOD(
              SUMPRODUCT(--($D$13:Y13&lt;&gt;""), --($D$13:Y13&lt;&gt;$F$26), --($D$13:Y13&lt;&gt;$F$27), --($D$13:Y13&lt;&gt;$F$28), --($D$13:Y13&lt;&gt;$F$29), --($D$13:Y13&lt;&gt;$F$30), --($D$13:Y13&lt;&gt;$F$31), --($D$13:Y13&lt;&gt;$F$32), --($D$13:Y13&lt;&gt;$F$33)) - 1, 4) &lt; 2,
              $C$30,
              $D$30
            )
          )
        )
      )
    )
  )
)))</f>
        <v>오광웅</v>
      </c>
      <c r="Z18" s="131" t="str" cm="1">
        <f t="array" ref="Z18">IF(Z$13=$F$26, $G$26,
  IF(Z$13=$F$27, $G$27,
    IF(Z$13=$F$28, $G$28,
      IF(Z$13=$F$29, $G$29,
        IF(Z$13=$F$30, $G$30,
          IF(Z$13=$F$31, $G$31, IF(Z$13=$F$32, $G$32, IF(Z$13=$F$33, $G$33,
            IF(MOD(
              SUMPRODUCT(--($D$13:Z13&lt;&gt;""), --($D$13:Z13&lt;&gt;$F$26), --($D$13:Z13&lt;&gt;$F$27), --($D$13:Z13&lt;&gt;$F$28), --($D$13:Z13&lt;&gt;$F$29), --($D$13:Z13&lt;&gt;$F$30), --($D$13:Z13&lt;&gt;$F$31), --($D$13:Z13&lt;&gt;$F$32), --($D$13:Z13&lt;&gt;$F$33)) - 1, 4) &lt; 2,
              $C$30,
              $D$30
            )
          )
        )
      )
    )
  )
)))</f>
        <v>신대진</v>
      </c>
      <c r="AA18" s="131" t="str" cm="1">
        <f t="array" ref="AA18">IF(AA$13=$F$26, $G$26,
  IF(AA$13=$F$27, $G$27,
    IF(AA$13=$F$28, $G$28,
      IF(AA$13=$F$29, $G$29,
        IF(AA$13=$F$30, $G$30,
          IF(AA$13=$F$31, $G$31, IF(AA$13=$F$32, $G$32, IF(AA$13=$F$33, $G$33,
            IF(MOD(
              SUMPRODUCT(--($D$13:AA13&lt;&gt;""), --($D$13:AA13&lt;&gt;$F$26), --($D$13:AA13&lt;&gt;$F$27), --($D$13:AA13&lt;&gt;$F$28), --($D$13:AA13&lt;&gt;$F$29), --($D$13:AA13&lt;&gt;$F$30), --($D$13:AA13&lt;&gt;$F$31), --($D$13:AA13&lt;&gt;$F$32), --($D$13:AA13&lt;&gt;$F$33)) - 1, 4) &lt; 2,
              $C$30,
              $D$30
            )
          )
        )
      )
    )
  )
)))</f>
        <v>신대진</v>
      </c>
      <c r="AB18" s="131" t="str" cm="1">
        <f t="array" ref="AB18">IF(AB$13=$F$26, $G$26,
  IF(AB$13=$F$27, $G$27,
    IF(AB$13=$F$28, $G$28,
      IF(AB$13=$F$29, $G$29,
        IF(AB$13=$F$30, $G$30,
          IF(AB$13=$F$31, $G$31, IF(AB$13=$F$32, $G$32, IF(AB$13=$F$33, $G$33,
            IF(MOD(
              SUMPRODUCT(--($D$13:AB13&lt;&gt;""), --($D$13:AB13&lt;&gt;$F$26), --($D$13:AB13&lt;&gt;$F$27), --($D$13:AB13&lt;&gt;$F$28), --($D$13:AB13&lt;&gt;$F$29), --($D$13:AB13&lt;&gt;$F$30), --($D$13:AB13&lt;&gt;$F$31), --($D$13:AB13&lt;&gt;$F$32), --($D$13:AB13&lt;&gt;$F$33)) - 1, 4) &lt; 2,
              $C$30,
              $D$30
            )
          )
        )
      )
    )
  )
)))</f>
        <v>한영희</v>
      </c>
      <c r="AC18" s="131" t="str" cm="1">
        <f t="array" ref="AC18">IF(AC$13=$F$26, $G$26,
  IF(AC$13=$F$27, $G$27,
    IF(AC$13=$F$28, $G$28,
      IF(AC$13=$F$29, $G$29,
        IF(AC$13=$F$30, $G$30,
          IF(AC$13=$F$31, $G$31, IF(AC$13=$F$32, $G$32, IF(AC$13=$F$33, $G$33,
            IF(MOD(
              SUMPRODUCT(--($D$13:AC13&lt;&gt;""), --($D$13:AC13&lt;&gt;$F$26), --($D$13:AC13&lt;&gt;$F$27), --($D$13:AC13&lt;&gt;$F$28), --($D$13:AC13&lt;&gt;$F$29), --($D$13:AC13&lt;&gt;$F$30), --($D$13:AC13&lt;&gt;$F$31), --($D$13:AC13&lt;&gt;$F$32), --($D$13:AC13&lt;&gt;$F$33)) - 1, 4) &lt; 2,
              $C$30,
              $D$30
            )
          )
        )
      )
    )
  )
)))</f>
        <v>한영희</v>
      </c>
      <c r="AD18" s="131" t="str" cm="1">
        <f t="array" ref="AD18">IF(AD$13=$F$26, $G$26,
  IF(AD$13=$F$27, $G$27,
    IF(AD$13=$F$28, $G$28,
      IF(AD$13=$F$29, $G$29,
        IF(AD$13=$F$30, $G$30,
          IF(AD$13=$F$31, $G$31, IF(AD$13=$F$32, $G$32, IF(AD$13=$F$33, $G$33,
            IF(MOD(
              SUMPRODUCT(--($D$13:AD13&lt;&gt;""), --($D$13:AD13&lt;&gt;$F$26), --($D$13:AD13&lt;&gt;$F$27), --($D$13:AD13&lt;&gt;$F$28), --($D$13:AD13&lt;&gt;$F$29), --($D$13:AD13&lt;&gt;$F$30), --($D$13:AD13&lt;&gt;$F$31), --($D$13:AD13&lt;&gt;$F$32), --($D$13:AD13&lt;&gt;$F$33)) - 1, 4) &lt; 2,
              $C$30,
              $D$30
            )
          )
        )
      )
    )
  )
)))</f>
        <v>김제원</v>
      </c>
      <c r="AE18" s="131" t="str" cm="1">
        <f t="array" ref="AE18">IF(AE$13=$F$26, $G$26,
  IF(AE$13=$F$27, $G$27,
    IF(AE$13=$F$28, $G$28,
      IF(AE$13=$F$29, $G$29,
        IF(AE$13=$F$30, $G$30,
          IF(AE$13=$F$31, $G$31, IF(AE$13=$F$32, $G$32, IF(AE$13=$F$33, $G$33,
            IF(MOD(
              SUMPRODUCT(--($D$13:AE13&lt;&gt;""), --($D$13:AE13&lt;&gt;$F$26), --($D$13:AE13&lt;&gt;$F$27), --($D$13:AE13&lt;&gt;$F$28), --($D$13:AE13&lt;&gt;$F$29), --($D$13:AE13&lt;&gt;$F$30), --($D$13:AE13&lt;&gt;$F$31), --($D$13:AE13&lt;&gt;$F$32), --($D$13:AE13&lt;&gt;$F$33)) - 1, 4) &lt; 2,
              $C$30,
              $D$30
            )
          )
        )
      )
    )
  )
)))</f>
        <v>신대진</v>
      </c>
      <c r="AF18" s="131" t="str" cm="1">
        <f t="array" ref="AF18">IF(AF$13=$F$26, $G$26,
  IF(AF$13=$F$27, $G$27,
    IF(AF$13=$F$28, $G$28,
      IF(AF$13=$F$29, $G$29,
        IF(AF$13=$F$30, $G$30,
          IF(AF$13=$F$31, $G$31, IF(AF$13=$F$32, $G$32, IF(AF$13=$F$33, $G$33,
            IF(MOD(
              SUMPRODUCT(--($D$13:AF13&lt;&gt;""), --($D$13:AF13&lt;&gt;$F$26), --($D$13:AF13&lt;&gt;$F$27), --($D$13:AF13&lt;&gt;$F$28), --($D$13:AF13&lt;&gt;$F$29), --($D$13:AF13&lt;&gt;$F$30), --($D$13:AF13&lt;&gt;$F$31), --($D$13:AF13&lt;&gt;$F$32), --($D$13:AF13&lt;&gt;$F$33)) - 1, 4) &lt; 2,
              $C$30,
              $D$30
            )
          )
        )
      )
    )
  )
)))</f>
        <v>신대진</v>
      </c>
      <c r="AG18" s="131" t="str" cm="1">
        <f t="array" ref="AG18">IF(AG$13=$F$26, $G$26,
  IF(AG$13=$F$27, $G$27,
    IF(AG$13=$F$28, $G$28,
      IF(AG$13=$F$29, $G$29,
        IF(AG$13=$F$30, $G$30,
          IF(AG$13=$F$31, $G$31, IF(AG$13=$F$32, $G$32, IF(AG$13=$F$33, $G$33,
            IF(MOD(
              SUMPRODUCT(--($D$13:AG13&lt;&gt;""), --($D$13:AG13&lt;&gt;$F$26), --($D$13:AG13&lt;&gt;$F$27), --($D$13:AG13&lt;&gt;$F$28), --($D$13:AG13&lt;&gt;$F$29), --($D$13:AG13&lt;&gt;$F$30), --($D$13:AG13&lt;&gt;$F$31), --($D$13:AG13&lt;&gt;$F$32), --($D$13:AG13&lt;&gt;$F$33)) - 1, 4) &lt; 2,
              $C$30,
              $D$30
            )
          )
        )
      )
    )
  )
)))</f>
        <v>한영희</v>
      </c>
      <c r="AH18" s="131" t="str" cm="1">
        <f t="array" ref="AH18">IF(AH$13=$F$26, $G$26,
  IF(AH$13=$F$27, $G$27,
    IF(AH$13=$F$28, $G$28,
      IF(AH$13=$F$29, $G$29,
        IF(AH$13=$F$30, $G$30,
          IF(AH$13=$F$31, $G$31, IF(AH$13=$F$32, $G$32, IF(AH$13=$F$33, $G$33,
            IF(MOD(
              SUMPRODUCT(--($D$13:AH13&lt;&gt;""), --($D$13:AH13&lt;&gt;$F$26), --($D$13:AH13&lt;&gt;$F$27), --($D$13:AH13&lt;&gt;$F$28), --($D$13:AH13&lt;&gt;$F$29), --($D$13:AH13&lt;&gt;$F$30), --($D$13:AH13&lt;&gt;$F$31), --($D$13:AH13&lt;&gt;$F$32), --($D$13:AH13&lt;&gt;$F$33)) - 1, 4) &lt; 2,
              $C$30,
              $D$30
            )
          )
        )
      )
    )
  )
)))</f>
        <v>신대진</v>
      </c>
      <c r="AL18" s="128"/>
      <c r="AM18" s="128"/>
    </row>
    <row r="19" spans="2:39" hidden="1" x14ac:dyDescent="0.25">
      <c r="C19" s="122" t="s">
        <v>92</v>
      </c>
      <c r="D19" s="132" t="str" cm="1">
        <f t="array" ref="D19">IFERROR(VLOOKUP(D$13, $F$26:$G$33, 2, FALSE), IF(MOD(SUMPRODUCT(--($D$13:D13&lt;&gt;""), --($D$13:D13&lt;&gt;$F$26), --($D$13:D13&lt;&gt;$F$27), --($D$13:D13&lt;&gt;$F$28), --($D$13:D13&lt;&gt;$F$29), --($D$13:D13&lt;&gt;$F$30), --($D$13:D13&lt;&gt;$F$31), --($D$13:D13&lt;&gt;$F$32), --($D$13:D13&lt;&gt;$F$33)) - 1, 4) &lt; 2, $C$30, $D$30))</f>
        <v>한영희</v>
      </c>
      <c r="E19" s="132" t="str" cm="1">
        <f t="array" ref="E19">IFERROR(VLOOKUP(E$13, $F$26:$G$33, 2, FALSE), IF(MOD(SUMPRODUCT(--($D$13:E13&lt;&gt;""), --($D$13:E13&lt;&gt;$F$26), --($D$13:E13&lt;&gt;$F$27), --($D$13:E13&lt;&gt;$F$28), --($D$13:E13&lt;&gt;$F$29), --($D$13:E13&lt;&gt;$F$30), --($D$13:E13&lt;&gt;$F$31), --($D$13:E13&lt;&gt;$F$32), --($D$13:E13&lt;&gt;$F$33)) - 1, 4) &lt; 2, $C$30, $D$30))</f>
        <v>한영희</v>
      </c>
      <c r="F19" s="132" t="str" cm="1">
        <f t="array" ref="F19">IFERROR(VLOOKUP(F$13, $F$26:$G$33, 2, FALSE), IF(MOD(SUMPRODUCT(--($D$13:F13&lt;&gt;""), --($D$13:F13&lt;&gt;$F$26), --($D$13:F13&lt;&gt;$F$27), --($D$13:F13&lt;&gt;$F$28), --($D$13:F13&lt;&gt;$F$29), --($D$13:F13&lt;&gt;$F$30), --($D$13:F13&lt;&gt;$F$31), --($D$13:F13&lt;&gt;$F$32), --($D$13:F13&lt;&gt;$F$33)) - 1, 4) &lt; 2, $C$30, $D$30))</f>
        <v>신대진</v>
      </c>
      <c r="G19" s="132" t="str" cm="1">
        <f t="array" ref="G19">IFERROR(VLOOKUP(G$13, $F$26:$G$33, 2, FALSE), IF(MOD(SUMPRODUCT(--($D$13:G13&lt;&gt;""), --($D$13:G13&lt;&gt;$F$26), --($D$13:G13&lt;&gt;$F$27), --($D$13:G13&lt;&gt;$F$28), --($D$13:G13&lt;&gt;$F$29), --($D$13:G13&lt;&gt;$F$30), --($D$13:G13&lt;&gt;$F$31), --($D$13:G13&lt;&gt;$F$32), --($D$13:G13&lt;&gt;$F$33)) - 1, 4) &lt; 2, $C$30, $D$30))</f>
        <v>신대진</v>
      </c>
      <c r="H19" s="132" t="str" cm="1">
        <f t="array" ref="H19">IFERROR(VLOOKUP(H$13, $F$26:$G$33, 2, FALSE), IF(MOD(SUMPRODUCT(--($D$13:H13&lt;&gt;""), --($D$13:H13&lt;&gt;$F$26), --($D$13:H13&lt;&gt;$F$27), --($D$13:H13&lt;&gt;$F$28), --($D$13:H13&lt;&gt;$F$29), --($D$13:H13&lt;&gt;$F$30), --($D$13:H13&lt;&gt;$F$31), --($D$13:H13&lt;&gt;$F$32), --($D$13:H13&lt;&gt;$F$33)) - 1, 4) &lt; 2, $C$30, $D$30))</f>
        <v>한영희</v>
      </c>
      <c r="I19" s="132" t="str" cm="1">
        <f t="array" ref="I19">IFERROR(VLOOKUP(I$13, $F$26:$G$33, 2, FALSE), IF(MOD(SUMPRODUCT(--($D$13:I13&lt;&gt;""), --($D$13:I13&lt;&gt;$F$26), --($D$13:I13&lt;&gt;$F$27), --($D$13:I13&lt;&gt;$F$28), --($D$13:I13&lt;&gt;$F$29), --($D$13:I13&lt;&gt;$F$30), --($D$13:I13&lt;&gt;$F$31), --($D$13:I13&lt;&gt;$F$32), --($D$13:I13&lt;&gt;$F$33)) - 1, 4) &lt; 2, $C$30, $D$30))</f>
        <v>한영희</v>
      </c>
      <c r="J19" s="132" t="str" cm="1">
        <f t="array" ref="J19">IFERROR(VLOOKUP(J$13, $F$26:$G$33, 2, FALSE), IF(MOD(SUMPRODUCT(--($D$13:J13&lt;&gt;""), --($D$13:J13&lt;&gt;$F$26), --($D$13:J13&lt;&gt;$F$27), --($D$13:J13&lt;&gt;$F$28), --($D$13:J13&lt;&gt;$F$29), --($D$13:J13&lt;&gt;$F$30), --($D$13:J13&lt;&gt;$F$31), --($D$13:J13&lt;&gt;$F$32), --($D$13:J13&lt;&gt;$F$33)) - 1, 4) &lt; 2, $C$30, $D$30))</f>
        <v>신대진</v>
      </c>
      <c r="K19" s="132" t="str" cm="1">
        <f t="array" ref="K19">IFERROR(VLOOKUP(K$13, $F$26:$G$33, 2, FALSE), IF(MOD(SUMPRODUCT(--($D$13:K13&lt;&gt;""), --($D$13:K13&lt;&gt;$F$26), --($D$13:K13&lt;&gt;$F$27), --($D$13:K13&lt;&gt;$F$28), --($D$13:K13&lt;&gt;$F$29), --($D$13:K13&lt;&gt;$F$30), --($D$13:K13&lt;&gt;$F$31), --($D$13:K13&lt;&gt;$F$32), --($D$13:K13&lt;&gt;$F$33)) - 1, 4) &lt; 2, $C$30, $D$30))</f>
        <v>오광웅</v>
      </c>
      <c r="L19" s="132" t="str" cm="1">
        <f t="array" ref="L19">IFERROR(VLOOKUP(L$13, $F$26:$G$33, 2, FALSE), IF(MOD(SUMPRODUCT(--($D$13:L13&lt;&gt;""), --($D$13:L13&lt;&gt;$F$26), --($D$13:L13&lt;&gt;$F$27), --($D$13:L13&lt;&gt;$F$28), --($D$13:L13&lt;&gt;$F$29), --($D$13:L13&lt;&gt;$F$30), --($D$13:L13&lt;&gt;$F$31), --($D$13:L13&lt;&gt;$F$32), --($D$13:L13&lt;&gt;$F$33)) - 1, 4) &lt; 2, $C$30, $D$30))</f>
        <v>신대진</v>
      </c>
      <c r="M19" s="132" t="str" cm="1">
        <f t="array" ref="M19">IFERROR(VLOOKUP(M$13, $F$26:$G$33, 2, FALSE), IF(MOD(SUMPRODUCT(--($D$13:M13&lt;&gt;""), --($D$13:M13&lt;&gt;$F$26), --($D$13:M13&lt;&gt;$F$27), --($D$13:M13&lt;&gt;$F$28), --($D$13:M13&lt;&gt;$F$29), --($D$13:M13&lt;&gt;$F$30), --($D$13:M13&lt;&gt;$F$31), --($D$13:M13&lt;&gt;$F$32), --($D$13:M13&lt;&gt;$F$33)) - 1, 4) &lt; 2, $C$30, $D$30))</f>
        <v>한영희</v>
      </c>
      <c r="N19" s="132" t="str" cm="1">
        <f t="array" ref="N19">IFERROR(VLOOKUP(N$13, $F$26:$G$33, 2, FALSE), IF(MOD(SUMPRODUCT(--($D$13:N13&lt;&gt;""), --($D$13:N13&lt;&gt;$F$26), --($D$13:N13&lt;&gt;$F$27), --($D$13:N13&lt;&gt;$F$28), --($D$13:N13&lt;&gt;$F$29), --($D$13:N13&lt;&gt;$F$30), --($D$13:N13&lt;&gt;$F$31), --($D$13:N13&lt;&gt;$F$32), --($D$13:N13&lt;&gt;$F$33)) - 1, 4) &lt; 2, $C$30, $D$30))</f>
        <v>한영희</v>
      </c>
      <c r="O19" s="132" t="str" cm="1">
        <f t="array" ref="O19">IFERROR(VLOOKUP(O$13, $F$26:$G$33, 2, FALSE), IF(MOD(SUMPRODUCT(--($D$13:O13&lt;&gt;""), --($D$13:O13&lt;&gt;$F$26), --($D$13:O13&lt;&gt;$F$27), --($D$13:O13&lt;&gt;$F$28), --($D$13:O13&lt;&gt;$F$29), --($D$13:O13&lt;&gt;$F$30), --($D$13:O13&lt;&gt;$F$31), --($D$13:O13&lt;&gt;$F$32), --($D$13:O13&lt;&gt;$F$33)) - 1, 4) &lt; 2, $C$30, $D$30))</f>
        <v>신대진</v>
      </c>
      <c r="P19" s="132" t="str" cm="1">
        <f t="array" ref="P19">IFERROR(VLOOKUP(P$13, $F$26:$G$33, 2, FALSE), IF(MOD(SUMPRODUCT(--($D$13:P13&lt;&gt;""), --($D$13:P13&lt;&gt;$F$26), --($D$13:P13&lt;&gt;$F$27), --($D$13:P13&lt;&gt;$F$28), --($D$13:P13&lt;&gt;$F$29), --($D$13:P13&lt;&gt;$F$30), --($D$13:P13&lt;&gt;$F$31), --($D$13:P13&lt;&gt;$F$32), --($D$13:P13&lt;&gt;$F$33)) - 1, 4) &lt; 2, $C$30, $D$30))</f>
        <v>김제원</v>
      </c>
      <c r="Q19" s="132" t="str" cm="1">
        <f t="array" ref="Q19">IFERROR(VLOOKUP(Q$13, $F$26:$G$33, 2, FALSE), IF(MOD(SUMPRODUCT(--($D$13:Q13&lt;&gt;""), --($D$13:Q13&lt;&gt;$F$26), --($D$13:Q13&lt;&gt;$F$27), --($D$13:Q13&lt;&gt;$F$28), --($D$13:Q13&lt;&gt;$F$29), --($D$13:Q13&lt;&gt;$F$30), --($D$13:Q13&lt;&gt;$F$31), --($D$13:Q13&lt;&gt;$F$32), --($D$13:Q13&lt;&gt;$F$33)) - 1, 4) &lt; 2, $C$30, $D$30))</f>
        <v>신대진</v>
      </c>
      <c r="R19" s="132" t="str" cm="1">
        <f t="array" ref="R19">IFERROR(VLOOKUP(R$13, $F$26:$G$33, 2, FALSE), IF(MOD(SUMPRODUCT(--($D$13:R13&lt;&gt;""), --($D$13:R13&lt;&gt;$F$26), --($D$13:R13&lt;&gt;$F$27), --($D$13:R13&lt;&gt;$F$28), --($D$13:R13&lt;&gt;$F$29), --($D$13:R13&lt;&gt;$F$30), --($D$13:R13&lt;&gt;$F$31), --($D$13:R13&lt;&gt;$F$32), --($D$13:R13&lt;&gt;$F$33)) - 1, 4) &lt; 2, $C$30, $D$30))</f>
        <v>오광웅</v>
      </c>
      <c r="S19" s="132" t="str" cm="1">
        <f t="array" ref="S19">IFERROR(VLOOKUP(S$13, $F$26:$G$33, 2, FALSE), IF(MOD(SUMPRODUCT(--($D$13:S13&lt;&gt;""), --($D$13:S13&lt;&gt;$F$26), --($D$13:S13&lt;&gt;$F$27), --($D$13:S13&lt;&gt;$F$28), --($D$13:S13&lt;&gt;$F$29), --($D$13:S13&lt;&gt;$F$30), --($D$13:S13&lt;&gt;$F$31), --($D$13:S13&lt;&gt;$F$32), --($D$13:S13&lt;&gt;$F$33)) - 1, 4) &lt; 2, $C$30, $D$30))</f>
        <v>한영희</v>
      </c>
      <c r="T19" s="132" t="str" cm="1">
        <f t="array" ref="T19">IFERROR(VLOOKUP(T$13, $F$26:$G$33, 2, FALSE), IF(MOD(SUMPRODUCT(--($D$13:T13&lt;&gt;""), --($D$13:T13&lt;&gt;$F$26), --($D$13:T13&lt;&gt;$F$27), --($D$13:T13&lt;&gt;$F$28), --($D$13:T13&lt;&gt;$F$29), --($D$13:T13&lt;&gt;$F$30), --($D$13:T13&lt;&gt;$F$31), --($D$13:T13&lt;&gt;$F$32), --($D$13:T13&lt;&gt;$F$33)) - 1, 4) &lt; 2, $C$30, $D$30))</f>
        <v>한영희</v>
      </c>
      <c r="U19" s="132" t="str" cm="1">
        <f t="array" ref="U19">IFERROR(VLOOKUP(U$13, $F$26:$G$33, 2, FALSE), IF(MOD(SUMPRODUCT(--($D$13:U13&lt;&gt;""), --($D$13:U13&lt;&gt;$F$26), --($D$13:U13&lt;&gt;$F$27), --($D$13:U13&lt;&gt;$F$28), --($D$13:U13&lt;&gt;$F$29), --($D$13:U13&lt;&gt;$F$30), --($D$13:U13&lt;&gt;$F$31), --($D$13:U13&lt;&gt;$F$32), --($D$13:U13&lt;&gt;$F$33)) - 1, 4) &lt; 2, $C$30, $D$30))</f>
        <v>신대진</v>
      </c>
      <c r="V19" s="132" t="str" cm="1">
        <f t="array" ref="V19">IFERROR(VLOOKUP(V$13, $F$26:$G$33, 2, FALSE), IF(MOD(SUMPRODUCT(--($D$13:V13&lt;&gt;""), --($D$13:V13&lt;&gt;$F$26), --($D$13:V13&lt;&gt;$F$27), --($D$13:V13&lt;&gt;$F$28), --($D$13:V13&lt;&gt;$F$29), --($D$13:V13&lt;&gt;$F$30), --($D$13:V13&lt;&gt;$F$31), --($D$13:V13&lt;&gt;$F$32), --($D$13:V13&lt;&gt;$F$33)) - 1, 4) &lt; 2, $C$30, $D$30))</f>
        <v>신대진</v>
      </c>
      <c r="W19" s="132" t="str" cm="1">
        <f t="array" ref="W19">IFERROR(VLOOKUP(W$13, $F$26:$G$33, 2, FALSE), IF(MOD(SUMPRODUCT(--($D$13:W13&lt;&gt;""), --($D$13:W13&lt;&gt;$F$26), --($D$13:W13&lt;&gt;$F$27), --($D$13:W13&lt;&gt;$F$28), --($D$13:W13&lt;&gt;$F$29), --($D$13:W13&lt;&gt;$F$30), --($D$13:W13&lt;&gt;$F$31), --($D$13:W13&lt;&gt;$F$32), --($D$13:W13&lt;&gt;$F$33)) - 1, 4) &lt; 2, $C$30, $D$30))</f>
        <v>한영희</v>
      </c>
      <c r="X19" s="132" t="str" cm="1">
        <f t="array" ref="X19">IFERROR(VLOOKUP(X$13, $F$26:$G$33, 2, FALSE), IF(MOD(SUMPRODUCT(--($D$13:X13&lt;&gt;""), --($D$13:X13&lt;&gt;$F$26), --($D$13:X13&lt;&gt;$F$27), --($D$13:X13&lt;&gt;$F$28), --($D$13:X13&lt;&gt;$F$29), --($D$13:X13&lt;&gt;$F$30), --($D$13:X13&lt;&gt;$F$31), --($D$13:X13&lt;&gt;$F$32), --($D$13:X13&lt;&gt;$F$33)) - 1, 4) &lt; 2, $C$30, $D$30))</f>
        <v>한영희</v>
      </c>
      <c r="Y19" s="132" t="str" cm="1">
        <f t="array" ref="Y19">IFERROR(VLOOKUP(Y$13, $F$26:$G$33, 2, FALSE), IF(MOD(SUMPRODUCT(--($D$13:Y13&lt;&gt;""), --($D$13:Y13&lt;&gt;$F$26), --($D$13:Y13&lt;&gt;$F$27), --($D$13:Y13&lt;&gt;$F$28), --($D$13:Y13&lt;&gt;$F$29), --($D$13:Y13&lt;&gt;$F$30), --($D$13:Y13&lt;&gt;$F$31), --($D$13:Y13&lt;&gt;$F$32), --($D$13:Y13&lt;&gt;$F$33)) - 1, 4) &lt; 2, $C$30, $D$30))</f>
        <v>오광웅</v>
      </c>
      <c r="Z19" s="132" t="str" cm="1">
        <f t="array" ref="Z19">IFERROR(VLOOKUP(Z$13, $F$26:$G$33, 2, FALSE), IF(MOD(SUMPRODUCT(--($D$13:Z13&lt;&gt;""), --($D$13:Z13&lt;&gt;$F$26), --($D$13:Z13&lt;&gt;$F$27), --($D$13:Z13&lt;&gt;$F$28), --($D$13:Z13&lt;&gt;$F$29), --($D$13:Z13&lt;&gt;$F$30), --($D$13:Z13&lt;&gt;$F$31), --($D$13:Z13&lt;&gt;$F$32), --($D$13:Z13&lt;&gt;$F$33)) - 1, 4) &lt; 2, $C$30, $D$30))</f>
        <v>신대진</v>
      </c>
      <c r="AA19" s="132" t="str" cm="1">
        <f t="array" ref="AA19">IFERROR(VLOOKUP(AA$13, $F$26:$G$33, 2, FALSE), IF(MOD(SUMPRODUCT(--($D$13:AA13&lt;&gt;""), --($D$13:AA13&lt;&gt;$F$26), --($D$13:AA13&lt;&gt;$F$27), --($D$13:AA13&lt;&gt;$F$28), --($D$13:AA13&lt;&gt;$F$29), --($D$13:AA13&lt;&gt;$F$30), --($D$13:AA13&lt;&gt;$F$31), --($D$13:AA13&lt;&gt;$F$32), --($D$13:AA13&lt;&gt;$F$33)) - 1, 4) &lt; 2, $C$30, $D$30))</f>
        <v>신대진</v>
      </c>
      <c r="AB19" s="132" t="str" cm="1">
        <f t="array" ref="AB19">IFERROR(VLOOKUP(AB$13, $F$26:$G$33, 2, FALSE), IF(MOD(SUMPRODUCT(--($D$13:AB13&lt;&gt;""), --($D$13:AB13&lt;&gt;$F$26), --($D$13:AB13&lt;&gt;$F$27), --($D$13:AB13&lt;&gt;$F$28), --($D$13:AB13&lt;&gt;$F$29), --($D$13:AB13&lt;&gt;$F$30), --($D$13:AB13&lt;&gt;$F$31), --($D$13:AB13&lt;&gt;$F$32), --($D$13:AB13&lt;&gt;$F$33)) - 1, 4) &lt; 2, $C$30, $D$30))</f>
        <v>한영희</v>
      </c>
      <c r="AC19" s="132" t="str" cm="1">
        <f t="array" ref="AC19">IFERROR(VLOOKUP(AC$13, $F$26:$G$33, 2, FALSE), IF(MOD(SUMPRODUCT(--($D$13:AC13&lt;&gt;""), --($D$13:AC13&lt;&gt;$F$26), --($D$13:AC13&lt;&gt;$F$27), --($D$13:AC13&lt;&gt;$F$28), --($D$13:AC13&lt;&gt;$F$29), --($D$13:AC13&lt;&gt;$F$30), --($D$13:AC13&lt;&gt;$F$31), --($D$13:AC13&lt;&gt;$F$32), --($D$13:AC13&lt;&gt;$F$33)) - 1, 4) &lt; 2, $C$30, $D$30))</f>
        <v>한영희</v>
      </c>
      <c r="AD19" s="132" t="str" cm="1">
        <f t="array" ref="AD19">IFERROR(VLOOKUP(AD$13, $F$26:$G$33, 2, FALSE), IF(MOD(SUMPRODUCT(--($D$13:AD13&lt;&gt;""), --($D$13:AD13&lt;&gt;$F$26), --($D$13:AD13&lt;&gt;$F$27), --($D$13:AD13&lt;&gt;$F$28), --($D$13:AD13&lt;&gt;$F$29), --($D$13:AD13&lt;&gt;$F$30), --($D$13:AD13&lt;&gt;$F$31), --($D$13:AD13&lt;&gt;$F$32), --($D$13:AD13&lt;&gt;$F$33)) - 1, 4) &lt; 2, $C$30, $D$30))</f>
        <v>김제원</v>
      </c>
      <c r="AE19" s="132" t="str" cm="1">
        <f t="array" ref="AE19">IFERROR(VLOOKUP(AE$13, $F$26:$G$33, 2, FALSE), IF(MOD(SUMPRODUCT(--($D$13:AE13&lt;&gt;""), --($D$13:AE13&lt;&gt;$F$26), --($D$13:AE13&lt;&gt;$F$27), --($D$13:AE13&lt;&gt;$F$28), --($D$13:AE13&lt;&gt;$F$29), --($D$13:AE13&lt;&gt;$F$30), --($D$13:AE13&lt;&gt;$F$31), --($D$13:AE13&lt;&gt;$F$32), --($D$13:AE13&lt;&gt;$F$33)) - 1, 4) &lt; 2, $C$30, $D$30))</f>
        <v>신대진</v>
      </c>
      <c r="AF19" s="132" t="str" cm="1">
        <f t="array" ref="AF19">IFERROR(VLOOKUP(AF$13, $F$26:$G$33, 2, FALSE), IF(MOD(SUMPRODUCT(--($D$13:AF13&lt;&gt;""), --($D$13:AF13&lt;&gt;$F$26), --($D$13:AF13&lt;&gt;$F$27), --($D$13:AF13&lt;&gt;$F$28), --($D$13:AF13&lt;&gt;$F$29), --($D$13:AF13&lt;&gt;$F$30), --($D$13:AF13&lt;&gt;$F$31), --($D$13:AF13&lt;&gt;$F$32), --($D$13:AF13&lt;&gt;$F$33)) - 1, 4) &lt; 2, $C$30, $D$30))</f>
        <v>신대진</v>
      </c>
      <c r="AG19" s="132" t="str" cm="1">
        <f t="array" ref="AG19">IFERROR(VLOOKUP(AG$13, $F$26:$G$33, 2, FALSE), IF(MOD(SUMPRODUCT(--($D$13:AG13&lt;&gt;""), --($D$13:AG13&lt;&gt;$F$26), --($D$13:AG13&lt;&gt;$F$27), --($D$13:AG13&lt;&gt;$F$28), --($D$13:AG13&lt;&gt;$F$29), --($D$13:AG13&lt;&gt;$F$30), --($D$13:AG13&lt;&gt;$F$31), --($D$13:AG13&lt;&gt;$F$32), --($D$13:AG13&lt;&gt;$F$33)) - 1, 4) &lt; 2, $C$30, $D$30))</f>
        <v>한영희</v>
      </c>
      <c r="AH19" s="132" t="str" cm="1">
        <f t="array" ref="AH19">IFERROR(VLOOKUP(AH$13, $F$26:$G$33, 2, FALSE), IF(MOD(SUMPRODUCT(--($D$13:AH13&lt;&gt;""), --($D$13:AH13&lt;&gt;$F$26), --($D$13:AH13&lt;&gt;$F$27), --($D$13:AH13&lt;&gt;$F$28), --($D$13:AH13&lt;&gt;$F$29), --($D$13:AH13&lt;&gt;$F$30), --($D$13:AH13&lt;&gt;$F$31), --($D$13:AH13&lt;&gt;$F$32), --($D$13:AH13&lt;&gt;$F$33)) - 1, 4) &lt; 2, $C$30, $D$30))</f>
        <v>신대진</v>
      </c>
      <c r="AI19" s="121"/>
      <c r="AJ19" s="121"/>
      <c r="AK19" s="121"/>
      <c r="AL19" s="121"/>
      <c r="AM19" s="121"/>
    </row>
    <row r="20" spans="2:39" hidden="1" x14ac:dyDescent="0.25">
      <c r="C20" s="122" t="s">
        <v>93</v>
      </c>
      <c r="D20" s="132" t="str">
        <f>D$19  &amp;IF(D$13=$J$46, $K$46,
                                    IF(D$13=$J$47, $K$47,
                                        IF(D$13=$J$48, $K$48,
                                            IF(D$13=$J$49, $K$49, ""))))</f>
        <v>한영희</v>
      </c>
      <c r="E20" s="132" t="str">
        <f t="shared" ref="E20:AH20" si="5">E$19  &amp;IF(E$13=$J$46, $K$46,
                                    IF(E$13=$J$47, $K$47,
                                        IF(E$13=$J$48, $K$48,
                                            IF(E$13=$J$49, $K$49, ""))))</f>
        <v>한영희</v>
      </c>
      <c r="F20" s="132" t="str">
        <f t="shared" si="5"/>
        <v>신대진</v>
      </c>
      <c r="G20" s="132" t="str">
        <f t="shared" si="5"/>
        <v>신대진</v>
      </c>
      <c r="H20" s="132" t="str">
        <f t="shared" si="5"/>
        <v>한영희</v>
      </c>
      <c r="I20" s="132" t="str">
        <f t="shared" si="5"/>
        <v>한영희</v>
      </c>
      <c r="J20" s="132" t="str">
        <f t="shared" si="5"/>
        <v>신대진</v>
      </c>
      <c r="K20" s="132" t="str">
        <f t="shared" si="5"/>
        <v>오광웅</v>
      </c>
      <c r="L20" s="132" t="str">
        <f t="shared" si="5"/>
        <v>신대진</v>
      </c>
      <c r="M20" s="132" t="str">
        <f t="shared" si="5"/>
        <v>한영희</v>
      </c>
      <c r="N20" s="132" t="str">
        <f t="shared" si="5"/>
        <v>한영희</v>
      </c>
      <c r="O20" s="132" t="str">
        <f t="shared" si="5"/>
        <v>신대진</v>
      </c>
      <c r="P20" s="132" t="str">
        <f t="shared" si="5"/>
        <v>김제원</v>
      </c>
      <c r="Q20" s="132" t="str">
        <f t="shared" si="5"/>
        <v>신대진</v>
      </c>
      <c r="R20" s="132" t="str">
        <f t="shared" si="5"/>
        <v>오광웅</v>
      </c>
      <c r="S20" s="132" t="str">
        <f t="shared" si="5"/>
        <v>한영희신대진(4)</v>
      </c>
      <c r="T20" s="132" t="str">
        <f t="shared" si="5"/>
        <v>한영희</v>
      </c>
      <c r="U20" s="132" t="str">
        <f t="shared" si="5"/>
        <v>신대진한영희(4)</v>
      </c>
      <c r="V20" s="132" t="str">
        <f t="shared" si="5"/>
        <v>신대진</v>
      </c>
      <c r="W20" s="132" t="str">
        <f t="shared" si="5"/>
        <v>한영희</v>
      </c>
      <c r="X20" s="132" t="str">
        <f t="shared" si="5"/>
        <v>한영희</v>
      </c>
      <c r="Y20" s="132" t="str">
        <f t="shared" si="5"/>
        <v>오광웅</v>
      </c>
      <c r="Z20" s="132" t="str">
        <f t="shared" si="5"/>
        <v>신대진</v>
      </c>
      <c r="AA20" s="132" t="str">
        <f t="shared" si="5"/>
        <v>신대진</v>
      </c>
      <c r="AB20" s="132" t="str">
        <f t="shared" si="5"/>
        <v>한영희</v>
      </c>
      <c r="AC20" s="132" t="str">
        <f t="shared" si="5"/>
        <v>한영희</v>
      </c>
      <c r="AD20" s="132" t="str">
        <f t="shared" si="5"/>
        <v>김제원</v>
      </c>
      <c r="AE20" s="132" t="str">
        <f t="shared" si="5"/>
        <v>신대진</v>
      </c>
      <c r="AF20" s="132" t="str">
        <f t="shared" si="5"/>
        <v>신대진</v>
      </c>
      <c r="AG20" s="132" t="str">
        <f t="shared" si="5"/>
        <v>한영희</v>
      </c>
      <c r="AH20" s="132" t="str">
        <f t="shared" si="5"/>
        <v>신대진</v>
      </c>
      <c r="AI20" s="121"/>
      <c r="AJ20" s="121"/>
      <c r="AK20" s="121"/>
      <c r="AL20" s="121"/>
      <c r="AM20" s="121"/>
    </row>
    <row r="21" spans="2:39" hidden="1" x14ac:dyDescent="0.25">
      <c r="D21" s="132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  <c r="AH21" s="132"/>
      <c r="AI21" s="121"/>
      <c r="AJ21" s="121"/>
      <c r="AK21" s="121"/>
      <c r="AL21" s="121"/>
      <c r="AM21" s="121"/>
    </row>
    <row r="22" spans="2:39" hidden="1" x14ac:dyDescent="0.25"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21"/>
      <c r="AJ22" s="121"/>
      <c r="AK22" s="121"/>
      <c r="AL22" s="121"/>
      <c r="AM22" s="121"/>
    </row>
    <row r="23" spans="2:39" x14ac:dyDescent="0.25"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21"/>
      <c r="AJ23" s="121"/>
      <c r="AK23" s="121"/>
      <c r="AL23" s="121"/>
      <c r="AM23" s="121"/>
    </row>
    <row r="24" spans="2:39" ht="24.6" customHeight="1" thickBot="1" x14ac:dyDescent="0.3">
      <c r="B24" s="133" t="s">
        <v>87</v>
      </c>
      <c r="C24" s="221" t="s">
        <v>112</v>
      </c>
      <c r="D24" s="125"/>
      <c r="E24" s="221" t="s">
        <v>114</v>
      </c>
      <c r="F24" s="125" t="s">
        <v>48</v>
      </c>
      <c r="G24" s="125" t="s">
        <v>58</v>
      </c>
      <c r="H24" s="134"/>
      <c r="I24" s="125" t="s">
        <v>124</v>
      </c>
      <c r="J24" s="224">
        <f>월총근무일과시간!G9</f>
        <v>5</v>
      </c>
    </row>
    <row r="25" spans="2:39" ht="18" customHeight="1" thickTop="1" thickBot="1" x14ac:dyDescent="0.3">
      <c r="B25" s="135"/>
      <c r="C25" s="135" t="s">
        <v>56</v>
      </c>
      <c r="D25" s="135" t="s">
        <v>57</v>
      </c>
      <c r="F25" s="226" t="s">
        <v>49</v>
      </c>
      <c r="G25" s="227" t="s">
        <v>50</v>
      </c>
      <c r="H25" s="268" t="s">
        <v>91</v>
      </c>
      <c r="I25" s="269"/>
      <c r="J25" s="269"/>
      <c r="K25" s="269"/>
      <c r="L25" s="269"/>
      <c r="M25" s="269"/>
    </row>
    <row r="26" spans="2:39" ht="18" customHeight="1" thickTop="1" thickBot="1" x14ac:dyDescent="0.3">
      <c r="B26" s="270" t="s">
        <v>45</v>
      </c>
      <c r="C26" s="199" t="s">
        <v>7</v>
      </c>
      <c r="D26" s="199" t="s">
        <v>129</v>
      </c>
      <c r="E26" s="125"/>
      <c r="F26" s="200">
        <v>45724</v>
      </c>
      <c r="G26" s="201" t="s">
        <v>19</v>
      </c>
      <c r="H26" s="123">
        <f>IFERROR(INDEX(휴무요일과특정일휴무!$K$26:$O$34, MATCH($G26,휴무요일과특정일휴무!$D$26:$D$34, 0), 1),"")</f>
        <v>45717</v>
      </c>
      <c r="I26" s="123">
        <f>IFERROR(INDEX(휴무요일과특정일휴무!$K$26:$O$34, MATCH($G26,휴무요일과특정일휴무!$D$26:$D$34, 0), 2),"")</f>
        <v>45724</v>
      </c>
      <c r="J26" s="123">
        <f>IFERROR(INDEX(휴무요일과특정일휴무!$K$26:$O$34, MATCH($G26,휴무요일과특정일휴무!$D$26:$D$34, 0), 3),"")</f>
        <v>45731</v>
      </c>
      <c r="K26" s="123">
        <f>IFERROR(INDEX(휴무요일과특정일휴무!$K$26:$O$34, MATCH($G26,휴무요일과특정일휴무!$D$26:$D$34, 0), 4),"")</f>
        <v>45738</v>
      </c>
      <c r="L26" s="123">
        <f>IFERROR(INDEX(휴무요일과특정일휴무!$K$26:$O$34, MATCH($G26,휴무요일과특정일휴무!$D$26:$D$34, 0), 5),"")</f>
        <v>45745</v>
      </c>
      <c r="M26" s="123"/>
    </row>
    <row r="27" spans="2:39" ht="18" customHeight="1" thickTop="1" thickBot="1" x14ac:dyDescent="0.3">
      <c r="B27" s="271"/>
      <c r="C27" s="199" t="s">
        <v>6</v>
      </c>
      <c r="D27" s="199"/>
      <c r="F27" s="200">
        <v>45731</v>
      </c>
      <c r="G27" s="201" t="s">
        <v>19</v>
      </c>
      <c r="H27" s="123">
        <f>IFERROR(INDEX(휴무요일과특정일휴무!$K$26:$O$34, MATCH($G27,휴무요일과특정일휴무!$D$26:$D$34, 0), 1),"")</f>
        <v>45717</v>
      </c>
      <c r="I27" s="123">
        <f>IFERROR(INDEX(휴무요일과특정일휴무!$K$26:$O$34, MATCH($G27,휴무요일과특정일휴무!$D$26:$D$34, 0), 2),"")</f>
        <v>45724</v>
      </c>
      <c r="J27" s="123">
        <f>IFERROR(INDEX(휴무요일과특정일휴무!$K$26:$O$34, MATCH($G27,휴무요일과특정일휴무!$D$26:$D$34, 0), 3),"")</f>
        <v>45731</v>
      </c>
      <c r="K27" s="123">
        <f>IFERROR(INDEX(휴무요일과특정일휴무!$K$26:$O$34, MATCH($G27,휴무요일과특정일휴무!$D$26:$D$34, 0), 4),"")</f>
        <v>45738</v>
      </c>
      <c r="L27" s="123">
        <f>IFERROR(INDEX(휴무요일과특정일휴무!$K$26:$O$34, MATCH($G27,휴무요일과특정일휴무!$D$26:$D$34, 0), 5),"")</f>
        <v>45745</v>
      </c>
      <c r="M27" s="123"/>
    </row>
    <row r="28" spans="2:39" ht="18" customHeight="1" thickTop="1" thickBot="1" x14ac:dyDescent="0.3">
      <c r="B28" s="270" t="s">
        <v>46</v>
      </c>
      <c r="C28" s="199" t="s">
        <v>19</v>
      </c>
      <c r="D28" s="199" t="s">
        <v>134</v>
      </c>
      <c r="E28" s="125"/>
      <c r="F28" s="200">
        <v>45738</v>
      </c>
      <c r="G28" s="201" t="s">
        <v>19</v>
      </c>
      <c r="H28" s="123">
        <f>IFERROR(INDEX(휴무요일과특정일휴무!$K$26:$O$34, MATCH($G28,휴무요일과특정일휴무!$D$26:$D$34, 0), 1),"")</f>
        <v>45717</v>
      </c>
      <c r="I28" s="123">
        <f>IFERROR(INDEX(휴무요일과특정일휴무!$K$26:$O$34, MATCH($G28,휴무요일과특정일휴무!$D$26:$D$34, 0), 2),"")</f>
        <v>45724</v>
      </c>
      <c r="J28" s="123">
        <f>IFERROR(INDEX(휴무요일과특정일휴무!$K$26:$O$34, MATCH($G28,휴무요일과특정일휴무!$D$26:$D$34, 0), 3),"")</f>
        <v>45731</v>
      </c>
      <c r="K28" s="123">
        <f>IFERROR(INDEX(휴무요일과특정일휴무!$K$26:$O$34, MATCH($G28,휴무요일과특정일휴무!$D$26:$D$34, 0), 4),"")</f>
        <v>45738</v>
      </c>
      <c r="L28" s="123">
        <f>IFERROR(INDEX(휴무요일과특정일휴무!$K$26:$O$34, MATCH($G28,휴무요일과특정일휴무!$D$26:$D$34, 0), 5),"")</f>
        <v>45745</v>
      </c>
      <c r="M28" s="123"/>
    </row>
    <row r="29" spans="2:39" ht="18" customHeight="1" thickTop="1" thickBot="1" x14ac:dyDescent="0.3">
      <c r="B29" s="271"/>
      <c r="C29" s="199" t="s">
        <v>18</v>
      </c>
      <c r="D29" s="199"/>
      <c r="E29" s="125"/>
      <c r="F29" s="200">
        <v>45729</v>
      </c>
      <c r="G29" s="201" t="s">
        <v>134</v>
      </c>
      <c r="H29" s="123">
        <f>IFERROR(INDEX(휴무요일과특정일휴무!$K$26:$O$34, MATCH($G29,휴무요일과특정일휴무!$D$26:$D$34, 0), 1),"")</f>
        <v>45722</v>
      </c>
      <c r="I29" s="123">
        <f>IFERROR(INDEX(휴무요일과특정일휴무!$K$26:$O$34, MATCH($G29,휴무요일과특정일휴무!$D$26:$D$34, 0), 2),"")</f>
        <v>45729</v>
      </c>
      <c r="J29" s="123">
        <f>IFERROR(INDEX(휴무요일과특정일휴무!$K$26:$O$34, MATCH($G29,휴무요일과특정일휴무!$D$26:$D$34, 0), 3),"")</f>
        <v>45736</v>
      </c>
      <c r="K29" s="123">
        <f>IFERROR(INDEX(휴무요일과특정일휴무!$K$26:$O$34, MATCH($G29,휴무요일과특정일휴무!$D$26:$D$34, 0), 4),"")</f>
        <v>45743</v>
      </c>
      <c r="L29" s="123" t="str">
        <f>IFERROR(INDEX(휴무요일과특정일휴무!$K$26:$O$34, MATCH($G29,휴무요일과특정일휴무!$D$26:$D$34, 0), 5),"")</f>
        <v/>
      </c>
      <c r="M29" s="123"/>
    </row>
    <row r="30" spans="2:39" ht="18" customHeight="1" thickTop="1" thickBot="1" x14ac:dyDescent="0.3">
      <c r="B30" s="135" t="s">
        <v>47</v>
      </c>
      <c r="C30" s="199" t="s">
        <v>14</v>
      </c>
      <c r="D30" s="199" t="s">
        <v>20</v>
      </c>
      <c r="E30" s="125"/>
      <c r="F30" s="200">
        <v>45743</v>
      </c>
      <c r="G30" s="201" t="s">
        <v>134</v>
      </c>
      <c r="H30" s="123">
        <f>IFERROR(INDEX(휴무요일과특정일휴무!$K$26:$O$34, MATCH($G30,휴무요일과특정일휴무!$D$26:$D$34, 0), 1),"")</f>
        <v>45722</v>
      </c>
      <c r="I30" s="123">
        <f>IFERROR(INDEX(휴무요일과특정일휴무!$K$26:$O$34, MATCH($G30,휴무요일과특정일휴무!$D$26:$D$34, 0), 2),"")</f>
        <v>45729</v>
      </c>
      <c r="J30" s="123">
        <f>IFERROR(INDEX(휴무요일과특정일휴무!$K$26:$O$34, MATCH($G30,휴무요일과특정일휴무!$D$26:$D$34, 0), 3),"")</f>
        <v>45736</v>
      </c>
      <c r="K30" s="123">
        <f>IFERROR(INDEX(휴무요일과특정일휴무!$K$26:$O$34, MATCH($G30,휴무요일과특정일휴무!$D$26:$D$34, 0), 4),"")</f>
        <v>45743</v>
      </c>
      <c r="L30" s="123" t="str">
        <f>IFERROR(INDEX(휴무요일과특정일휴무!$K$26:$O$34, MATCH($G30,휴무요일과특정일휴무!$D$26:$D$34, 0), 5),"")</f>
        <v/>
      </c>
      <c r="M30" s="123"/>
    </row>
    <row r="31" spans="2:39" ht="18" customHeight="1" thickTop="1" x14ac:dyDescent="0.25">
      <c r="B31" s="125"/>
      <c r="C31" s="125"/>
      <c r="D31" s="125"/>
      <c r="E31" s="125"/>
      <c r="F31" s="200"/>
      <c r="G31" s="201"/>
      <c r="H31" s="123" t="str">
        <f>IFERROR(INDEX(휴무요일과특정일휴무!$K$26:$O$34, MATCH($G31,휴무요일과특정일휴무!$D$26:$D$34, 0), 1),"")</f>
        <v/>
      </c>
      <c r="I31" s="123" t="str">
        <f>IFERROR(INDEX(휴무요일과특정일휴무!$K$26:$O$34, MATCH($G31,휴무요일과특정일휴무!$D$26:$D$34, 0), 2),"")</f>
        <v/>
      </c>
      <c r="J31" s="123" t="str">
        <f>IFERROR(INDEX(휴무요일과특정일휴무!$K$26:$O$34, MATCH($G31,휴무요일과특정일휴무!$D$26:$D$34, 0), 3),"")</f>
        <v/>
      </c>
      <c r="K31" s="123" t="str">
        <f>IFERROR(INDEX(휴무요일과특정일휴무!$K$26:$O$34, MATCH($G31,휴무요일과특정일휴무!$D$26:$D$34, 0), 4),"")</f>
        <v/>
      </c>
      <c r="L31" s="123" t="str">
        <f>IFERROR(INDEX(휴무요일과특정일휴무!$K$26:$O$34, MATCH($G31,휴무요일과특정일휴무!$D$26:$D$34, 0), 5),"")</f>
        <v/>
      </c>
      <c r="M31" s="123"/>
    </row>
    <row r="32" spans="2:39" ht="18" customHeight="1" x14ac:dyDescent="0.25">
      <c r="B32" s="125"/>
      <c r="C32" s="125"/>
      <c r="D32" s="125"/>
      <c r="E32" s="125"/>
      <c r="F32" s="200"/>
      <c r="G32" s="201"/>
      <c r="H32" s="123" t="str">
        <f>IFERROR(INDEX(휴무요일과특정일휴무!$K$26:$O$34, MATCH($G32,휴무요일과특정일휴무!$D$26:$D$34, 0), 1),"")</f>
        <v/>
      </c>
      <c r="I32" s="123" t="str">
        <f>IFERROR(INDEX(휴무요일과특정일휴무!$K$26:$O$34, MATCH($G32,휴무요일과특정일휴무!$D$26:$D$34, 0), 2),"")</f>
        <v/>
      </c>
      <c r="J32" s="123" t="str">
        <f>IFERROR(INDEX(휴무요일과특정일휴무!$K$26:$O$34, MATCH($G32,휴무요일과특정일휴무!$D$26:$D$34, 0), 3),"")</f>
        <v/>
      </c>
      <c r="K32" s="123" t="str">
        <f>IFERROR(INDEX(휴무요일과특정일휴무!$K$26:$O$34, MATCH($G32,휴무요일과특정일휴무!$D$26:$D$34, 0), 4),"")</f>
        <v/>
      </c>
      <c r="L32" s="123" t="str">
        <f>IFERROR(INDEX(휴무요일과특정일휴무!$K$26:$O$34, MATCH($G32,휴무요일과특정일휴무!$D$26:$D$34, 0), 4),"")</f>
        <v/>
      </c>
      <c r="M32" s="123"/>
    </row>
    <row r="33" spans="1:24" ht="18" customHeight="1" thickBot="1" x14ac:dyDescent="0.3">
      <c r="B33" s="125"/>
      <c r="C33" s="125"/>
      <c r="D33" s="125"/>
      <c r="E33" s="222" t="s">
        <v>119</v>
      </c>
      <c r="F33" s="202">
        <v>45747</v>
      </c>
      <c r="G33" s="203" t="s">
        <v>20</v>
      </c>
      <c r="H33" s="125"/>
      <c r="I33" s="125"/>
      <c r="J33" s="125"/>
    </row>
    <row r="34" spans="1:24" ht="18" customHeight="1" thickTop="1" x14ac:dyDescent="0.25">
      <c r="B34" s="125"/>
      <c r="C34" s="125"/>
      <c r="D34" s="125"/>
      <c r="E34" s="125" t="s">
        <v>86</v>
      </c>
      <c r="F34" s="124" t="str">
        <f>IF(INDEX(휴무요일과특정일휴무!$D$78:$D$86,MATCH(조편성!$C$30,휴무요일과특정일휴무!$C$78:$C$86,0))=INDEX(휴무요일과특정일휴무!$D$78:$D$86,MATCH(조편성!$D$30,휴무요일과특정일휴무!$C$78:$C$86,0)),"",월총근무일과시간!F6)</f>
        <v/>
      </c>
      <c r="G34" s="228" t="str">
        <f>IF(INDEX(휴무요일과특정일휴무!$D$78:$D$86,MATCH(조편성!$C$30,휴무요일과특정일휴무!$C$78:$C$86,0))=INDEX(휴무요일과특정일휴무!$D$78:$D$86,MATCH(조편성!$D$30,휴무요일과특정일휴무!$C$78:$C$86,0)),"",$D$30)</f>
        <v/>
      </c>
      <c r="H34" s="267" t="s">
        <v>85</v>
      </c>
      <c r="I34" s="267"/>
      <c r="J34" s="267"/>
    </row>
    <row r="35" spans="1:24" ht="18" customHeight="1" x14ac:dyDescent="0.25">
      <c r="B35" s="125"/>
      <c r="C35" s="125"/>
      <c r="D35" s="125"/>
      <c r="E35" s="125"/>
      <c r="F35" s="125"/>
      <c r="G35" s="125"/>
      <c r="H35" s="125"/>
      <c r="I35" s="125"/>
      <c r="J35" s="125"/>
    </row>
    <row r="36" spans="1:24" ht="18" customHeight="1" thickBot="1" x14ac:dyDescent="0.3">
      <c r="B36" s="125" t="s">
        <v>60</v>
      </c>
      <c r="C36" s="125"/>
      <c r="D36" s="125"/>
      <c r="E36" s="125"/>
      <c r="F36" s="125" t="s">
        <v>63</v>
      </c>
      <c r="G36" s="125"/>
      <c r="H36" s="125"/>
      <c r="I36" s="125" t="s">
        <v>97</v>
      </c>
      <c r="J36" s="125"/>
    </row>
    <row r="37" spans="1:24" ht="18" customHeight="1" thickTop="1" x14ac:dyDescent="0.25">
      <c r="B37" s="136" t="s">
        <v>61</v>
      </c>
      <c r="C37" s="137" t="s">
        <v>62</v>
      </c>
      <c r="D37" s="125" t="s">
        <v>58</v>
      </c>
      <c r="E37" s="125"/>
      <c r="F37" s="136" t="s">
        <v>61</v>
      </c>
      <c r="G37" s="137" t="s">
        <v>62</v>
      </c>
      <c r="H37" s="125" t="s">
        <v>58</v>
      </c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</row>
    <row r="38" spans="1:24" ht="18" customHeight="1" x14ac:dyDescent="0.25">
      <c r="B38" s="204"/>
      <c r="C38" s="205"/>
      <c r="D38" s="125"/>
      <c r="E38" s="125"/>
      <c r="F38" s="204"/>
      <c r="G38" s="205"/>
      <c r="H38" s="125"/>
      <c r="L38" s="131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</row>
    <row r="39" spans="1:24" ht="18" customHeight="1" x14ac:dyDescent="0.25">
      <c r="B39" s="204"/>
      <c r="C39" s="205"/>
      <c r="D39" s="125"/>
      <c r="E39" s="125"/>
      <c r="F39" s="204"/>
      <c r="G39" s="205"/>
      <c r="H39" s="125"/>
      <c r="I39" s="132"/>
      <c r="L39" s="131"/>
      <c r="M39" s="131"/>
      <c r="N39" s="131"/>
      <c r="O39" s="131"/>
      <c r="P39" s="131"/>
      <c r="Q39" s="131"/>
      <c r="R39" s="131"/>
      <c r="S39" s="131"/>
      <c r="T39" s="131"/>
      <c r="U39" s="131"/>
      <c r="V39" s="131"/>
      <c r="W39" s="131"/>
      <c r="X39" s="131"/>
    </row>
    <row r="40" spans="1:24" ht="18" customHeight="1" x14ac:dyDescent="0.25">
      <c r="B40" s="204"/>
      <c r="C40" s="205"/>
      <c r="D40" s="125"/>
      <c r="E40" s="125"/>
      <c r="F40" s="204"/>
      <c r="G40" s="205"/>
      <c r="H40" s="125"/>
      <c r="L40" s="131"/>
      <c r="M40" s="131"/>
      <c r="N40" s="131"/>
      <c r="O40" s="131"/>
      <c r="P40" s="131"/>
      <c r="Q40" s="131"/>
      <c r="R40" s="131"/>
      <c r="S40" s="131"/>
      <c r="T40" s="131"/>
      <c r="U40" s="131"/>
      <c r="V40" s="131"/>
      <c r="W40" s="131"/>
      <c r="X40" s="131"/>
    </row>
    <row r="41" spans="1:24" ht="18" customHeight="1" x14ac:dyDescent="0.25">
      <c r="B41" s="204"/>
      <c r="C41" s="205"/>
      <c r="D41" s="125"/>
      <c r="E41" s="125"/>
      <c r="F41" s="204"/>
      <c r="G41" s="205"/>
      <c r="H41" s="125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</row>
    <row r="42" spans="1:24" ht="18" customHeight="1" x14ac:dyDescent="0.25">
      <c r="B42" s="204"/>
      <c r="C42" s="205"/>
      <c r="D42" s="125"/>
      <c r="E42" s="125"/>
      <c r="F42" s="204"/>
      <c r="G42" s="205"/>
      <c r="H42" s="125"/>
      <c r="L42" s="131"/>
      <c r="M42" s="131"/>
      <c r="N42" s="131"/>
      <c r="O42" s="131"/>
      <c r="P42" s="131"/>
      <c r="Q42" s="131"/>
      <c r="R42" s="131"/>
      <c r="S42" s="131"/>
      <c r="T42" s="131"/>
      <c r="U42" s="131"/>
      <c r="V42" s="131"/>
      <c r="W42" s="131"/>
      <c r="X42" s="131"/>
    </row>
    <row r="43" spans="1:24" ht="18" customHeight="1" x14ac:dyDescent="0.25">
      <c r="B43" s="204"/>
      <c r="C43" s="205"/>
      <c r="D43" s="125"/>
      <c r="E43" s="125"/>
      <c r="F43" s="204"/>
      <c r="G43" s="205"/>
      <c r="H43" s="125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</row>
    <row r="44" spans="1:24" ht="18" customHeight="1" thickBot="1" x14ac:dyDescent="0.3">
      <c r="B44" s="204"/>
      <c r="C44" s="205"/>
      <c r="D44" s="125"/>
      <c r="E44" s="125"/>
      <c r="F44" s="204"/>
      <c r="G44" s="205"/>
      <c r="H44" s="125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</row>
    <row r="45" spans="1:24" ht="18" customHeight="1" thickTop="1" thickBot="1" x14ac:dyDescent="0.3">
      <c r="A45" s="223" t="s">
        <v>122</v>
      </c>
      <c r="B45" s="206"/>
      <c r="C45" s="207"/>
      <c r="D45" s="125"/>
      <c r="E45" s="223" t="s">
        <v>121</v>
      </c>
      <c r="F45" s="206"/>
      <c r="G45" s="207"/>
      <c r="H45" s="125"/>
      <c r="I45" s="223" t="s">
        <v>120</v>
      </c>
      <c r="J45" s="142" t="s">
        <v>103</v>
      </c>
      <c r="K45" s="143" t="s">
        <v>62</v>
      </c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</row>
    <row r="46" spans="1:24" ht="18" customHeight="1" thickTop="1" x14ac:dyDescent="0.25">
      <c r="A46" s="141" t="s">
        <v>104</v>
      </c>
      <c r="B46" s="208">
        <v>45734</v>
      </c>
      <c r="C46" s="209" t="s">
        <v>136</v>
      </c>
      <c r="D46" s="124"/>
      <c r="E46" s="141" t="s">
        <v>106</v>
      </c>
      <c r="F46" s="208"/>
      <c r="G46" s="210"/>
      <c r="H46" s="124"/>
      <c r="I46" s="141" t="s">
        <v>105</v>
      </c>
      <c r="J46" s="204">
        <v>45734</v>
      </c>
      <c r="K46" s="211" t="s">
        <v>137</v>
      </c>
    </row>
    <row r="47" spans="1:24" ht="18" customHeight="1" x14ac:dyDescent="0.25">
      <c r="A47" s="141" t="s">
        <v>123</v>
      </c>
      <c r="B47" s="204"/>
      <c r="C47" s="205"/>
      <c r="D47" s="124"/>
      <c r="E47" s="141" t="s">
        <v>123</v>
      </c>
      <c r="F47" s="204"/>
      <c r="G47" s="211"/>
      <c r="H47" s="124"/>
      <c r="I47" s="141" t="s">
        <v>123</v>
      </c>
      <c r="J47" s="204">
        <v>45732</v>
      </c>
      <c r="K47" s="211" t="s">
        <v>111</v>
      </c>
    </row>
    <row r="48" spans="1:24" ht="18" customHeight="1" x14ac:dyDescent="0.25">
      <c r="A48" s="141"/>
      <c r="B48" s="204"/>
      <c r="C48" s="205"/>
      <c r="D48" s="124"/>
      <c r="E48" s="124"/>
      <c r="F48" s="204"/>
      <c r="G48" s="205"/>
      <c r="H48" s="124"/>
      <c r="I48" s="124"/>
      <c r="J48" s="204"/>
      <c r="K48" s="211"/>
    </row>
    <row r="49" spans="1:12" ht="18" customHeight="1" thickBot="1" x14ac:dyDescent="0.3">
      <c r="A49" s="141"/>
      <c r="B49" s="206"/>
      <c r="C49" s="207"/>
      <c r="D49" s="124"/>
      <c r="E49" s="124"/>
      <c r="F49" s="212"/>
      <c r="G49" s="213"/>
      <c r="H49" s="124"/>
      <c r="I49" s="124"/>
      <c r="J49" s="212"/>
      <c r="K49" s="214"/>
    </row>
    <row r="50" spans="1:12" ht="18" customHeight="1" thickTop="1" x14ac:dyDescent="0.25">
      <c r="A50" s="177"/>
      <c r="B50" s="178"/>
      <c r="C50" s="179"/>
      <c r="D50" s="180"/>
      <c r="E50" s="180"/>
      <c r="F50" s="178"/>
      <c r="G50" s="179"/>
      <c r="H50" s="180"/>
      <c r="I50" s="180"/>
      <c r="J50" s="178"/>
      <c r="K50" s="181"/>
      <c r="L50" s="177"/>
    </row>
    <row r="51" spans="1:12" ht="15.6" customHeight="1" x14ac:dyDescent="0.25">
      <c r="B51" s="138"/>
      <c r="C51" s="173"/>
      <c r="D51" s="171"/>
      <c r="E51" s="139"/>
      <c r="F51" s="138"/>
      <c r="G51" s="173"/>
      <c r="H51" s="125"/>
      <c r="I51" s="125"/>
      <c r="J51" s="123">
        <f>$B$82</f>
        <v>45734</v>
      </c>
      <c r="K51" s="123" t="str">
        <f>C30</f>
        <v>한영희</v>
      </c>
      <c r="L51" s="122" t="str" cm="1">
        <f t="array" ref="L51">_xlfn.TEXTJOIN(", ",TRUE,IF(D19:AH19=$D$30,TEXT($D$2:$AH$2,"dd"),""))</f>
        <v>03, 04, 07, 09, 12, 14, 18, 19, 23, 24, 28, 29, 31</v>
      </c>
    </row>
    <row r="52" spans="1:12" ht="15.6" customHeight="1" x14ac:dyDescent="0.25">
      <c r="B52" s="138"/>
      <c r="C52" s="173"/>
      <c r="D52" s="171"/>
      <c r="E52" s="139"/>
      <c r="F52" s="138"/>
      <c r="G52" s="173"/>
      <c r="H52" s="125"/>
      <c r="I52" s="125"/>
      <c r="J52" s="123">
        <f>$B$85</f>
        <v>45732</v>
      </c>
      <c r="K52" s="123" t="str">
        <f>D30</f>
        <v>신대진</v>
      </c>
      <c r="L52" s="122" t="str" cm="1">
        <f t="array" ref="L52">_xlfn.TEXTJOIN(", ",TRUE,IF(D19:AH19=$C$30,TEXT($D$2:$AH$2,"dd"),""))</f>
        <v>01, 02, 05, 06, 10, 11, 16, 17, 20, 21, 25, 26, 30</v>
      </c>
    </row>
    <row r="53" spans="1:12" x14ac:dyDescent="0.25">
      <c r="B53" s="138"/>
      <c r="C53" s="173"/>
      <c r="D53" s="171"/>
      <c r="E53" s="139"/>
      <c r="F53" s="138"/>
      <c r="G53" s="173"/>
      <c r="H53" s="125"/>
      <c r="I53" s="125"/>
      <c r="J53" s="138"/>
      <c r="K53" s="173"/>
    </row>
    <row r="54" spans="1:12" x14ac:dyDescent="0.25">
      <c r="B54" s="138"/>
      <c r="C54" s="173"/>
      <c r="D54" s="171"/>
      <c r="E54" s="139"/>
      <c r="F54" s="138"/>
      <c r="G54" s="173"/>
      <c r="H54" s="125"/>
      <c r="I54" s="125"/>
      <c r="J54" s="138"/>
      <c r="K54" s="173"/>
    </row>
    <row r="55" spans="1:12" x14ac:dyDescent="0.25">
      <c r="B55" s="176" t="str">
        <f>이름기초!$B$11</f>
        <v>한영희</v>
      </c>
      <c r="C55" s="138" t="str">
        <f>IF(OR(휴무요일과특정일휴무!I78&gt;8,휴무요일과특정일휴무!I78=0),"",휴무요일과특정일휴무!C78&amp;"("&amp;TEXT(ABS(휴무요일과특정일휴무!I78),"0")&amp;")")</f>
        <v>한영희(4)</v>
      </c>
      <c r="D55" s="175" t="e" vm="1">
        <f>B88</f>
        <v>#VALUE!</v>
      </c>
      <c r="E55" s="19" t="str" cm="1">
        <f t="array" ref="E55">IF(휴무요일과특정일휴무!I26="","",_xlfn.TEXTJOIN(", ",TRUE,IF(D3:AH3="",TEXT($D$2:$AH$2,"dd"),"")))</f>
        <v/>
      </c>
      <c r="F55" s="125"/>
      <c r="G55" s="125"/>
      <c r="H55" s="125"/>
      <c r="I55" s="125"/>
      <c r="J55" s="125"/>
    </row>
    <row r="56" spans="1:12" x14ac:dyDescent="0.25">
      <c r="B56" s="176" t="str">
        <f>이름기초!$B$12</f>
        <v>장영대</v>
      </c>
      <c r="C56" s="138" t="str">
        <f>IF(OR(휴무요일과특정일휴무!I79&gt;8,휴무요일과특정일휴무!I79=0),"",휴무요일과특정일휴무!C79&amp;"("&amp;TEXT(ABS(휴무요일과특정일휴무!I79),"0")&amp;")")</f>
        <v/>
      </c>
      <c r="D56" s="175">
        <f t="shared" ref="D56:D63" si="6">B89</f>
        <v>45735</v>
      </c>
      <c r="E56" s="19" t="str" cm="1">
        <f t="array" ref="E56">IF(휴무요일과특정일휴무!I27="","",_xlfn.TEXTJOIN(", ",TRUE,IF(D4:AH4="",TEXT($D$2:$AH$2,"dd"),"")))</f>
        <v>05, 06, 07, 12, 13, 14, 19, 20, 21, 27, 28</v>
      </c>
      <c r="F56" s="125"/>
      <c r="G56" s="125"/>
      <c r="H56" s="125"/>
      <c r="I56" s="125"/>
      <c r="J56" s="125"/>
    </row>
    <row r="57" spans="1:12" x14ac:dyDescent="0.25">
      <c r="B57" s="176" t="str">
        <f>이름기초!$B$13</f>
        <v>위선옥</v>
      </c>
      <c r="C57" s="138" t="str">
        <f>IF(OR(휴무요일과특정일휴무!I80&gt;8,휴무요일과특정일휴무!I80=0),"",휴무요일과특정일휴무!C80&amp;"("&amp;TEXT(ABS(휴무요일과특정일휴무!I80),"0")&amp;")")</f>
        <v/>
      </c>
      <c r="D57" s="175">
        <f t="shared" si="6"/>
        <v>45731</v>
      </c>
      <c r="E57" s="19" t="str" cm="1">
        <f t="array" ref="E57">IF(휴무요일과특정일휴무!I28="","",_xlfn.TEXTJOIN(", ",TRUE,IF(D5:AH5="",TEXT($D$2:$AH$2,"dd"),"")))</f>
        <v>04, 05, 06, 10, 11, 12, 13, 14, 15, 16, 17, 18, 19, 20, 21, 22, 23, 24, 25, 26, 27, 28, 29, 30, 31</v>
      </c>
      <c r="F57" s="125"/>
      <c r="G57" s="125"/>
      <c r="H57" s="125"/>
      <c r="I57" s="125"/>
      <c r="J57" s="125"/>
    </row>
    <row r="58" spans="1:12" x14ac:dyDescent="0.25">
      <c r="B58" s="176" t="str">
        <f>이름기초!$B$14</f>
        <v>오광웅</v>
      </c>
      <c r="C58" s="138" t="str">
        <f>IF(OR(휴무요일과특정일휴무!I81&gt;8,휴무요일과특정일휴무!I81=0),"",휴무요일과특정일휴무!C81&amp;"("&amp;TEXT(ABS(휴무요일과특정일휴무!I81),"0")&amp;")")</f>
        <v>오광웅(4)</v>
      </c>
      <c r="D58" s="175">
        <f t="shared" si="6"/>
        <v>45731</v>
      </c>
      <c r="E58" s="19" t="str" cm="1">
        <f t="array" ref="E58">IF(휴무요일과특정일휴무!I29="","",_xlfn.TEXTJOIN(", ",TRUE,IF(D6:AH6="",TEXT($D$2:$AH$2,"dd"),"")))</f>
        <v>01, 02, 03, 08, 09, 10, 15, 16, 18, 19, 22, 23, 24, 29, 30, 31</v>
      </c>
      <c r="F58" s="125"/>
      <c r="G58" s="125"/>
      <c r="H58" s="125"/>
      <c r="I58" s="125"/>
      <c r="J58" s="125"/>
    </row>
    <row r="59" spans="1:12" x14ac:dyDescent="0.25">
      <c r="B59" s="176" t="str">
        <f>이름기초!$B$15</f>
        <v>안성용</v>
      </c>
      <c r="C59" s="138" t="str">
        <f>IF(OR(휴무요일과특정일휴무!I82&gt;8,휴무요일과특정일휴무!I82=0),"",휴무요일과특정일휴무!C82&amp;"("&amp;TEXT(ABS(휴무요일과특정일휴무!I82),"0")&amp;")")</f>
        <v/>
      </c>
      <c r="D59" s="175">
        <f t="shared" si="6"/>
        <v>45731</v>
      </c>
      <c r="E59" s="19" t="str" cm="1">
        <f t="array" ref="E59">IF(휴무요일과특정일휴무!I30="","",_xlfn.TEXTJOIN(", ",TRUE,IF(D7:AH7="",TEXT($D$2:$AH$2,"dd"),"")))</f>
        <v>01, 02, 07, 08, 09, 15, 16, 22, 23, 29, 30</v>
      </c>
      <c r="F59" s="125"/>
      <c r="G59" s="125"/>
      <c r="H59" s="125"/>
      <c r="I59" s="125"/>
      <c r="J59" s="125"/>
    </row>
    <row r="60" spans="1:12" x14ac:dyDescent="0.25">
      <c r="B60" s="176" t="str">
        <f>이름기초!$B$16</f>
        <v>신대진</v>
      </c>
      <c r="C60" s="138" t="str">
        <f>IF(OR(휴무요일과특정일휴무!I83&gt;8,휴무요일과특정일휴무!I83=0),"",휴무요일과특정일휴무!C83&amp;"("&amp;TEXT(ABS(휴무요일과특정일휴무!I83),"0")&amp;")")</f>
        <v>신대진(4)</v>
      </c>
      <c r="D60" s="175" t="e" vm="1">
        <f t="shared" si="6"/>
        <v>#VALUE!</v>
      </c>
      <c r="E60" s="19" t="str" cm="1">
        <f t="array" ref="E60">IF(휴무요일과특정일휴무!I31="","",_xlfn.TEXTJOIN(", ",TRUE,IF(D8:AH8="",TEXT($D$2:$AH$2,"dd"),"")))</f>
        <v/>
      </c>
      <c r="F60" s="125"/>
      <c r="G60" s="125"/>
      <c r="H60" s="125"/>
      <c r="I60" s="125"/>
      <c r="J60" s="125"/>
    </row>
    <row r="61" spans="1:12" x14ac:dyDescent="0.25">
      <c r="B61" s="176" t="str">
        <f>이름기초!$B$17</f>
        <v>김대화</v>
      </c>
      <c r="C61" s="138" t="str">
        <f>IF(OR(휴무요일과특정일휴무!I84&gt;8,휴무요일과특정일휴무!I84=0),"",휴무요일과특정일휴무!C84&amp;"("&amp;TEXT(ABS(휴무요일과특정일휴무!I84),"0")&amp;")")</f>
        <v/>
      </c>
      <c r="D61" s="175">
        <f t="shared" si="6"/>
        <v>45733</v>
      </c>
      <c r="E61" s="19" t="str" cm="1">
        <f t="array" ref="E61">IF(휴무요일과특정일휴무!I32="","",_xlfn.TEXTJOIN(", ",TRUE,IF(D9:AH9="",TEXT($D$2:$AH$2,"dd"),"")))</f>
        <v>02, 03, 04, 09, 10, 11, 17, 18, 24, 25, 31</v>
      </c>
      <c r="F61" s="125"/>
      <c r="G61" s="125"/>
      <c r="H61" s="125"/>
      <c r="I61" s="125"/>
      <c r="J61" s="125"/>
    </row>
    <row r="62" spans="1:12" x14ac:dyDescent="0.25">
      <c r="B62" s="176" t="str">
        <f>이름기초!$B$18</f>
        <v>김제원</v>
      </c>
      <c r="C62" s="138" t="str">
        <f>IF(OR(휴무요일과특정일휴무!I85&gt;8,휴무요일과특정일휴무!I85=0),"",휴무요일과특정일휴무!C85&amp;"("&amp;TEXT(ABS(휴무요일과특정일휴무!I85),"0")&amp;")")</f>
        <v/>
      </c>
      <c r="D62" s="175">
        <f t="shared" si="6"/>
        <v>45731</v>
      </c>
      <c r="E62" s="19" t="str" cm="1">
        <f t="array" ref="E62">IF(휴무요일과특정일휴무!I33="","",_xlfn.TEXTJOIN(", ",TRUE,IF(D10:AH10="",TEXT($D$2:$AH$2,"dd"),"")))</f>
        <v>01, 06, 07, 08, 13, 14, 15, 16, 20, 21, 22, 27, 28, 29</v>
      </c>
      <c r="F62" s="125"/>
      <c r="G62" s="125"/>
      <c r="H62" s="125"/>
      <c r="I62" s="125"/>
      <c r="J62" s="125"/>
    </row>
    <row r="63" spans="1:12" x14ac:dyDescent="0.25">
      <c r="B63" s="176" t="str">
        <f>이름기초!$B$19</f>
        <v>공란</v>
      </c>
      <c r="C63" s="138" t="str">
        <f>IF(OR(휴무요일과특정일휴무!I86&gt;8,휴무요일과특정일휴무!I86=0),"",휴무요일과특정일휴무!C86&amp;"("&amp;TEXT(ABS(휴무요일과특정일휴무!I86),"0")&amp;")")</f>
        <v/>
      </c>
      <c r="D63" s="175" t="e" vm="1">
        <f t="shared" si="6"/>
        <v>#VALUE!</v>
      </c>
      <c r="E63" s="19" t="str" cm="1">
        <f t="array" ref="E63">IF(휴무요일과특정일휴무!I34="","",_xlfn.TEXTJOIN(", ",TRUE,IF(D11:AH11="",TEXT($D$2:$AH$2,"dd"),"")))</f>
        <v/>
      </c>
      <c r="F63" s="125"/>
      <c r="G63" s="125"/>
      <c r="H63" s="125"/>
      <c r="I63" s="125"/>
      <c r="J63" s="125"/>
    </row>
    <row r="65" spans="1:26" ht="15.6" customHeight="1" x14ac:dyDescent="0.25">
      <c r="B65" s="140"/>
      <c r="C65" s="172"/>
      <c r="D65" s="140"/>
      <c r="E65" s="140"/>
      <c r="F65" s="125"/>
      <c r="G65" s="125"/>
      <c r="H65" s="125"/>
      <c r="I65" s="125"/>
      <c r="J65" s="125"/>
    </row>
    <row r="66" spans="1:26" x14ac:dyDescent="0.25">
      <c r="B66" s="125"/>
      <c r="C66" s="172"/>
      <c r="D66" s="125"/>
      <c r="E66" s="125"/>
      <c r="F66" s="125"/>
      <c r="G66" s="125"/>
      <c r="H66" s="125"/>
      <c r="I66" s="125"/>
      <c r="J66" s="125"/>
    </row>
    <row r="67" spans="1:26" x14ac:dyDescent="0.25">
      <c r="A67" s="122" t="s">
        <v>101</v>
      </c>
      <c r="H67" s="141"/>
      <c r="I67" s="122" t="s">
        <v>102</v>
      </c>
    </row>
    <row r="68" spans="1:26" x14ac:dyDescent="0.25">
      <c r="A68" s="126" t="str">
        <f>이름기초!$B$11</f>
        <v>한영희</v>
      </c>
      <c r="B68" s="126" t="e" cm="1" vm="2">
        <f t="array" ref="B68">_xlfn._xlws.FILTER($D$2:$AH$2, D3:AH3="")</f>
        <v>#VALUE!</v>
      </c>
      <c r="C68" s="126"/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</row>
    <row r="69" spans="1:26" x14ac:dyDescent="0.25">
      <c r="A69" s="126" t="str">
        <f>이름기초!$B$12</f>
        <v>장영대</v>
      </c>
      <c r="B69" s="126" cm="1">
        <f t="array" ref="B69:L69">_xlfn._xlws.FILTER($D$2:$AH$2, D4:AH4="")</f>
        <v>45721</v>
      </c>
      <c r="C69" s="126">
        <v>45722</v>
      </c>
      <c r="D69" s="126">
        <v>45723</v>
      </c>
      <c r="E69" s="126">
        <v>45728</v>
      </c>
      <c r="F69" s="126">
        <v>45729</v>
      </c>
      <c r="G69" s="126">
        <v>45730</v>
      </c>
      <c r="H69" s="126">
        <v>45735</v>
      </c>
      <c r="I69" s="126">
        <v>45736</v>
      </c>
      <c r="J69" s="126">
        <v>45737</v>
      </c>
      <c r="K69" s="126">
        <v>45743</v>
      </c>
      <c r="L69" s="126">
        <v>45744</v>
      </c>
      <c r="M69" s="126"/>
      <c r="N69" s="126"/>
      <c r="O69" s="126"/>
    </row>
    <row r="70" spans="1:26" x14ac:dyDescent="0.25">
      <c r="A70" s="126" t="str">
        <f>이름기초!$B$13</f>
        <v>위선옥</v>
      </c>
      <c r="B70" s="126" cm="1">
        <f t="array" ref="B70:Z70">_xlfn._xlws.FILTER($D$2:$AH$2, D5:AH5="")</f>
        <v>45720</v>
      </c>
      <c r="C70" s="126">
        <v>45721</v>
      </c>
      <c r="D70" s="126">
        <v>45722</v>
      </c>
      <c r="E70" s="126">
        <v>45726</v>
      </c>
      <c r="F70" s="126">
        <v>45727</v>
      </c>
      <c r="G70" s="126">
        <v>45728</v>
      </c>
      <c r="H70" s="126">
        <v>45729</v>
      </c>
      <c r="I70" s="126">
        <v>45730</v>
      </c>
      <c r="J70" s="126">
        <v>45731</v>
      </c>
      <c r="K70" s="126">
        <v>45732</v>
      </c>
      <c r="L70" s="126">
        <v>45733</v>
      </c>
      <c r="M70" s="126">
        <v>45734</v>
      </c>
      <c r="N70" s="126">
        <v>45735</v>
      </c>
      <c r="O70" s="126">
        <v>45736</v>
      </c>
      <c r="P70" s="122">
        <v>45737</v>
      </c>
      <c r="Q70" s="122">
        <v>45738</v>
      </c>
      <c r="R70" s="122">
        <v>45739</v>
      </c>
      <c r="S70" s="122">
        <v>45740</v>
      </c>
      <c r="T70" s="122">
        <v>45741</v>
      </c>
      <c r="U70" s="122">
        <v>45742</v>
      </c>
      <c r="V70" s="122">
        <v>45743</v>
      </c>
      <c r="W70" s="122">
        <v>45744</v>
      </c>
      <c r="X70" s="122">
        <v>45745</v>
      </c>
      <c r="Y70" s="122">
        <v>45746</v>
      </c>
      <c r="Z70" s="122">
        <v>45747</v>
      </c>
    </row>
    <row r="71" spans="1:26" x14ac:dyDescent="0.25">
      <c r="A71" s="126" t="str">
        <f>이름기초!$B$14</f>
        <v>오광웅</v>
      </c>
      <c r="B71" s="126">
        <f t="array" ref="B71:L71">_xlfn._xlws.FILTER($D$2:$AH$2, D6:AH6="")</f>
        <v>45717</v>
      </c>
      <c r="C71" s="126">
        <v>45718</v>
      </c>
      <c r="D71" s="126">
        <v>45719</v>
      </c>
      <c r="E71" s="126">
        <v>45724</v>
      </c>
      <c r="F71" s="126">
        <v>45725</v>
      </c>
      <c r="G71" s="126">
        <v>45726</v>
      </c>
      <c r="H71" s="126">
        <v>45731</v>
      </c>
      <c r="I71" s="126">
        <v>45732</v>
      </c>
      <c r="J71" s="126">
        <v>45734</v>
      </c>
      <c r="K71" s="126">
        <v>45735</v>
      </c>
      <c r="L71" s="126">
        <v>45738</v>
      </c>
      <c r="M71" s="126"/>
      <c r="N71" s="126"/>
      <c r="O71" s="126"/>
    </row>
    <row r="72" spans="1:26" x14ac:dyDescent="0.25">
      <c r="A72" s="126" t="str">
        <f>이름기초!$B$15</f>
        <v>안성용</v>
      </c>
      <c r="B72" s="126" cm="1">
        <f t="array" ref="B72:L72">_xlfn._xlws.FILTER($D$2:$AH$2, D7:AH7="")</f>
        <v>45717</v>
      </c>
      <c r="C72" s="126">
        <v>45718</v>
      </c>
      <c r="D72" s="126">
        <v>45723</v>
      </c>
      <c r="E72" s="126">
        <v>45724</v>
      </c>
      <c r="F72" s="126">
        <v>45725</v>
      </c>
      <c r="G72" s="126">
        <v>45731</v>
      </c>
      <c r="H72" s="126">
        <v>45732</v>
      </c>
      <c r="I72" s="126">
        <v>45738</v>
      </c>
      <c r="J72" s="126">
        <v>45739</v>
      </c>
      <c r="K72" s="126">
        <v>45745</v>
      </c>
      <c r="L72" s="126">
        <v>45746</v>
      </c>
      <c r="M72" s="126"/>
      <c r="N72" s="126"/>
      <c r="O72" s="126"/>
    </row>
    <row r="73" spans="1:26" x14ac:dyDescent="0.25">
      <c r="A73" s="126" t="str">
        <f>이름기초!$B$16</f>
        <v>신대진</v>
      </c>
      <c r="B73" s="126" t="e" cm="1" vm="2">
        <f t="array" ref="B73">_xlfn._xlws.FILTER($D$2:$AH$2, D8:AH8="")</f>
        <v>#VALUE!</v>
      </c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</row>
    <row r="74" spans="1:26" x14ac:dyDescent="0.25">
      <c r="A74" s="126" t="str">
        <f>이름기초!$B$17</f>
        <v>김대화</v>
      </c>
      <c r="B74" s="126" cm="1">
        <f t="array" ref="B74:L74">_xlfn._xlws.FILTER($D$2:$AH$2, D9:AH9="")</f>
        <v>45718</v>
      </c>
      <c r="C74" s="126">
        <v>45719</v>
      </c>
      <c r="D74" s="126">
        <v>45720</v>
      </c>
      <c r="E74" s="126">
        <v>45725</v>
      </c>
      <c r="F74" s="126">
        <v>45726</v>
      </c>
      <c r="G74" s="126">
        <v>45727</v>
      </c>
      <c r="H74" s="126">
        <v>45733</v>
      </c>
      <c r="I74" s="126">
        <v>45734</v>
      </c>
      <c r="J74" s="126">
        <v>45740</v>
      </c>
      <c r="K74" s="126">
        <v>45741</v>
      </c>
      <c r="L74" s="126">
        <v>45747</v>
      </c>
      <c r="M74" s="126"/>
      <c r="N74" s="126"/>
      <c r="O74" s="126"/>
    </row>
    <row r="75" spans="1:26" x14ac:dyDescent="0.25">
      <c r="A75" s="126" t="str">
        <f>이름기초!$B$18</f>
        <v>김제원</v>
      </c>
      <c r="B75" s="126" cm="1">
        <f t="array" ref="B75:O75">_xlfn._xlws.FILTER($D$2:$AH$2, D10:AH10="")</f>
        <v>45717</v>
      </c>
      <c r="C75" s="126">
        <v>45722</v>
      </c>
      <c r="D75" s="126">
        <v>45723</v>
      </c>
      <c r="E75" s="126">
        <v>45724</v>
      </c>
      <c r="F75" s="126">
        <v>45729</v>
      </c>
      <c r="G75" s="126">
        <v>45730</v>
      </c>
      <c r="H75" s="126">
        <v>45731</v>
      </c>
      <c r="I75" s="126">
        <v>45732</v>
      </c>
      <c r="J75" s="126">
        <v>45736</v>
      </c>
      <c r="K75" s="126">
        <v>45737</v>
      </c>
      <c r="L75" s="126">
        <v>45738</v>
      </c>
      <c r="M75" s="126">
        <v>45743</v>
      </c>
      <c r="N75" s="126">
        <v>45744</v>
      </c>
      <c r="O75" s="126">
        <v>45745</v>
      </c>
    </row>
    <row r="76" spans="1:26" x14ac:dyDescent="0.25">
      <c r="A76" s="126" t="str">
        <f>이름기초!$B$19</f>
        <v>공란</v>
      </c>
      <c r="B76" s="126" t="e" cm="1" vm="2">
        <f t="array" ref="B76">_xlfn._xlws.FILTER($D$2:$AH$2, D11:AH11="")</f>
        <v>#VALUE!</v>
      </c>
      <c r="C76" s="126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</row>
    <row r="79" spans="1:26" x14ac:dyDescent="0.25">
      <c r="A79" s="122" t="s">
        <v>110</v>
      </c>
    </row>
    <row r="80" spans="1:26" x14ac:dyDescent="0.25">
      <c r="A80" s="122" t="str">
        <f>C30</f>
        <v>한영희</v>
      </c>
      <c r="B80" s="122" t="str" cm="1">
        <f t="array" ref="B80">_xlfn.TEXTJOIN(", ",TRUE,IF(D19:AH19=$D$30,TEXT($D$2:$AH$2,"dd"),""))</f>
        <v>03, 04, 07, 09, 12, 14, 18, 19, 23, 24, 28, 29, 31</v>
      </c>
    </row>
    <row r="81" spans="1:17" x14ac:dyDescent="0.25">
      <c r="B81" s="126">
        <f>IFERROR(DATE(월총근무일과시간!$F$2,월총근무일과시간!$G$2,(TRIM(MID(SUBSTITUTE($B$80, ",", REPT(" ", LEN($B$80))), (COLUMN()-COLUMN($B$81))*LEN($B$80)+1, LEN($B$80))))),"")</f>
        <v>45719</v>
      </c>
      <c r="C81" s="126">
        <f>IFERROR(DATE(월총근무일과시간!$F$2,월총근무일과시간!$G$2,(TRIM(MID(SUBSTITUTE($B$80, ",", REPT(" ", LEN($B$80))), (COLUMN()-COLUMN($B$81))*LEN($B$80)+1, LEN($B$80))))),"")</f>
        <v>45720</v>
      </c>
      <c r="D81" s="126">
        <f>IFERROR(DATE(월총근무일과시간!$F$2,월총근무일과시간!$G$2,(TRIM(MID(SUBSTITUTE($B$80, ",", REPT(" ", LEN($B$80))), (COLUMN()-COLUMN($B$81))*LEN($B$80)+1, LEN($B$80))))),"")</f>
        <v>45723</v>
      </c>
      <c r="E81" s="126">
        <f>IFERROR(DATE(월총근무일과시간!$F$2,월총근무일과시간!$G$2,(TRIM(MID(SUBSTITUTE($B$80, ",", REPT(" ", LEN($B$80))), (COLUMN()-COLUMN($B$81))*LEN($B$80)+1, LEN($B$80))))),"")</f>
        <v>45725</v>
      </c>
      <c r="F81" s="126">
        <f>IFERROR(DATE(월총근무일과시간!$F$2,월총근무일과시간!$G$2,(TRIM(MID(SUBSTITUTE($B$80, ",", REPT(" ", LEN($B$80))), (COLUMN()-COLUMN($B$81))*LEN($B$80)+1, LEN($B$80))))),"")</f>
        <v>45728</v>
      </c>
      <c r="G81" s="126">
        <f>IFERROR(DATE(월총근무일과시간!$F$2,월총근무일과시간!$G$2,(TRIM(MID(SUBSTITUTE($B$80, ",", REPT(" ", LEN($B$80))), (COLUMN()-COLUMN($B$81))*LEN($B$80)+1, LEN($B$80))))),"")</f>
        <v>45730</v>
      </c>
      <c r="H81" s="126">
        <f>IFERROR(DATE(월총근무일과시간!$F$2,월총근무일과시간!$G$2,(TRIM(MID(SUBSTITUTE($B$80, ",", REPT(" ", LEN($B$80))), (COLUMN()-COLUMN($B$81))*LEN($B$80)+1, LEN($B$80))))),"")</f>
        <v>45734</v>
      </c>
      <c r="I81" s="126">
        <f>IFERROR(DATE(월총근무일과시간!$F$2,월총근무일과시간!$G$2,(TRIM(MID(SUBSTITUTE($B$80, ",", REPT(" ", LEN($B$80))), (COLUMN()-COLUMN($B$81))*LEN($B$80)+1, LEN($B$80))))),"")</f>
        <v>45735</v>
      </c>
      <c r="J81" s="126">
        <f>IFERROR(DATE(월총근무일과시간!$F$2,월총근무일과시간!$G$2,(TRIM(MID(SUBSTITUTE($B$80, ",", REPT(" ", LEN($B$80))), (COLUMN()-COLUMN($B$81))*LEN($B$80)+1, LEN($B$80))))),"")</f>
        <v>45739</v>
      </c>
      <c r="K81" s="126">
        <f>IFERROR(DATE(월총근무일과시간!$F$2,월총근무일과시간!$G$2,(TRIM(MID(SUBSTITUTE($B$80, ",", REPT(" ", LEN($B$80))), (COLUMN()-COLUMN($B$81))*LEN($B$80)+1, LEN($B$80))))),"")</f>
        <v>45740</v>
      </c>
      <c r="L81" s="126">
        <f>IFERROR(DATE(월총근무일과시간!$F$2,월총근무일과시간!$G$2,(TRIM(MID(SUBSTITUTE($B$80, ",", REPT(" ", LEN($B$80))), (COLUMN()-COLUMN($B$81))*LEN($B$80)+1, LEN($B$80))))),"")</f>
        <v>45744</v>
      </c>
      <c r="M81" s="126">
        <f>IFERROR(DATE(월총근무일과시간!$F$2,월총근무일과시간!$G$2,(TRIM(MID(SUBSTITUTE($B$80, ",", REPT(" ", LEN($B$80))), (COLUMN()-COLUMN($B$81))*LEN($B$80)+1, LEN($B$80))))),"")</f>
        <v>45745</v>
      </c>
      <c r="N81" s="126">
        <f>IFERROR(DATE(월총근무일과시간!$F$2,월총근무일과시간!$G$2,(TRIM(MID(SUBSTITUTE($B$80, ",", REPT(" ", LEN($B$80))), (COLUMN()-COLUMN($B$81))*LEN($B$80)+1, LEN($B$80))))),"")</f>
        <v>45747</v>
      </c>
      <c r="O81" s="126" t="str">
        <f>IFERROR(DATE(월총근무일과시간!$F$2,월총근무일과시간!$G$2,(TRIM(MID(SUBSTITUTE($B$80, ",", REPT(" ", LEN($B$80))), (COLUMN()-COLUMN($B$81))*LEN($B$80)+1, LEN($B$80))))),"")</f>
        <v/>
      </c>
      <c r="P81" s="126" t="str">
        <f>IFERROR(DATE(월총근무일과시간!$F$2,월총근무일과시간!$G$2,(TRIM(MID(SUBSTITUTE($B$80, ",", REPT(" ", LEN($B$80))), (COLUMN()-COLUMN($B$81))*LEN($B$80)+1, LEN($B$80))))),"")</f>
        <v/>
      </c>
      <c r="Q81" s="126" t="str">
        <f>IFERROR(DATE(월총근무일과시간!$F$2,월총근무일과시간!$G$2,(TRIM(MID(SUBSTITUTE($B$80, ",", REPT(" ", LEN($B$80))), (COLUMN()-COLUMN($B$81))*LEN($B$80)+1, LEN($B$80))))),"")</f>
        <v/>
      </c>
    </row>
    <row r="82" spans="1:17" hidden="1" x14ac:dyDescent="0.25">
      <c r="B82" s="225" cm="1">
        <f t="array" ref="B82">INDEX(B81:N81, MATCH(MIN(IF((DAY(B81:N81)&gt;=15)*(DAY(B81:N81)&lt;=25), ABS(DAY(B81:N81)-15))), IF((DAY(B81:N81)&gt;=15)*(DAY(B81:N81)&lt;=25), ABS(DAY(B81:QN81)-15)), 0))</f>
        <v>45734</v>
      </c>
    </row>
    <row r="83" spans="1:17" x14ac:dyDescent="0.25">
      <c r="A83" s="122" t="str">
        <f>D30</f>
        <v>신대진</v>
      </c>
      <c r="B83" s="122" t="str" cm="1">
        <f t="array" ref="B83">_xlfn.TEXTJOIN(", ",TRUE,IF(D19:AH19=$C$30,TEXT($D$2:$AH$2,"dd"),""))</f>
        <v>01, 02, 05, 06, 10, 11, 16, 17, 20, 21, 25, 26, 30</v>
      </c>
    </row>
    <row r="84" spans="1:17" ht="15" customHeight="1" x14ac:dyDescent="0.25">
      <c r="B84" s="126">
        <f>IFERROR(DATE(월총근무일과시간!$F$2,월총근무일과시간!$G$2,(TRIM(MID(SUBSTITUTE($B$83,",",REPT(" ",LEN($B$83))),(COLUMN()-COLUMN($B$84))*LEN($B$83)+1,LEN($B$83))))),"")</f>
        <v>45717</v>
      </c>
      <c r="C84" s="126">
        <f>IFERROR(DATE(월총근무일과시간!$F$2,월총근무일과시간!$G$2,(TRIM(MID(SUBSTITUTE($B$83,",",REPT(" ",LEN($B$83))),(COLUMN()-COLUMN($B$84))*LEN($B$83)+1,LEN($B$83))))),"")</f>
        <v>45718</v>
      </c>
      <c r="D84" s="126">
        <f>IFERROR(DATE(월총근무일과시간!$F$2,월총근무일과시간!$G$2,(TRIM(MID(SUBSTITUTE($B$83,",",REPT(" ",LEN($B$83))),(COLUMN()-COLUMN($B$84))*LEN($B$83)+1,LEN($B$83))))),"")</f>
        <v>45721</v>
      </c>
      <c r="E84" s="126">
        <f>IFERROR(DATE(월총근무일과시간!$F$2,월총근무일과시간!$G$2,(TRIM(MID(SUBSTITUTE($B$83,",",REPT(" ",LEN($B$83))),(COLUMN()-COLUMN($B$84))*LEN($B$83)+1,LEN($B$83))))),"")</f>
        <v>45722</v>
      </c>
      <c r="F84" s="126">
        <f>IFERROR(DATE(월총근무일과시간!$F$2,월총근무일과시간!$G$2,(TRIM(MID(SUBSTITUTE($B$83,",",REPT(" ",LEN($B$83))),(COLUMN()-COLUMN($B$84))*LEN($B$83)+1,LEN($B$83))))),"")</f>
        <v>45726</v>
      </c>
      <c r="G84" s="126">
        <f>IFERROR(DATE(월총근무일과시간!$F$2,월총근무일과시간!$G$2,(TRIM(MID(SUBSTITUTE($B$83,",",REPT(" ",LEN($B$83))),(COLUMN()-COLUMN($B$84))*LEN($B$83)+1,LEN($B$83))))),"")</f>
        <v>45727</v>
      </c>
      <c r="H84" s="126">
        <f>IFERROR(DATE(월총근무일과시간!$F$2,월총근무일과시간!$G$2,(TRIM(MID(SUBSTITUTE($B$83,",",REPT(" ",LEN($B$83))),(COLUMN()-COLUMN($B$84))*LEN($B$83)+1,LEN($B$83))))),"")</f>
        <v>45732</v>
      </c>
      <c r="I84" s="126">
        <f>IFERROR(DATE(월총근무일과시간!$F$2,월총근무일과시간!$G$2,(TRIM(MID(SUBSTITUTE($B$83,",",REPT(" ",LEN($B$83))),(COLUMN()-COLUMN($B$84))*LEN($B$83)+1,LEN($B$83))))),"")</f>
        <v>45733</v>
      </c>
      <c r="J84" s="126">
        <f>IFERROR(DATE(월총근무일과시간!$F$2,월총근무일과시간!$G$2,(TRIM(MID(SUBSTITUTE($B$83,",",REPT(" ",LEN($B$83))),(COLUMN()-COLUMN($B$84))*LEN($B$83)+1,LEN($B$83))))),"")</f>
        <v>45736</v>
      </c>
      <c r="K84" s="126">
        <f>IFERROR(DATE(월총근무일과시간!$F$2,월총근무일과시간!$G$2,(TRIM(MID(SUBSTITUTE($B$83,",",REPT(" ",LEN($B$83))),(COLUMN()-COLUMN($B$84))*LEN($B$83)+1,LEN($B$83))))),"")</f>
        <v>45737</v>
      </c>
      <c r="L84" s="126">
        <f>IFERROR(DATE(월총근무일과시간!$F$2,월총근무일과시간!$G$2,(TRIM(MID(SUBSTITUTE($B$83,",",REPT(" ",LEN($B$83))),(COLUMN()-COLUMN($B$84))*LEN($B$83)+1,LEN($B$83))))),"")</f>
        <v>45741</v>
      </c>
      <c r="M84" s="126">
        <f>IFERROR(DATE(월총근무일과시간!$F$2,월총근무일과시간!$G$2,(TRIM(MID(SUBSTITUTE($B$83,",",REPT(" ",LEN($B$83))),(COLUMN()-COLUMN($B$84))*LEN($B$83)+1,LEN($B$83))))),"")</f>
        <v>45742</v>
      </c>
      <c r="N84" s="126">
        <f>IFERROR(DATE(월총근무일과시간!$F$2,월총근무일과시간!$G$2,(TRIM(MID(SUBSTITUTE($B$83,",",REPT(" ",LEN($B$83))),(COLUMN()-COLUMN($B$84))*LEN($B$83)+1,LEN($B$83))))),"")</f>
        <v>45746</v>
      </c>
      <c r="O84" s="126" t="str">
        <f>IFERROR(DATE(월총근무일과시간!$F$2,월총근무일과시간!$G$2,(TRIM(MID(SUBSTITUTE($B$83,",",REPT(" ",LEN($B$83))),(COLUMN()-COLUMN($B$84))*LEN($B$83)+1,LEN($B$83))))),"")</f>
        <v/>
      </c>
      <c r="P84" s="126" t="str">
        <f>IFERROR(DATE(월총근무일과시간!$F$2,월총근무일과시간!$G$2,(TRIM(MID(SUBSTITUTE($B$83,",",REPT(" ",LEN($B$83))),(COLUMN()-COLUMN($B$84))*LEN($B$83)+1,LEN($B$83))))),"")</f>
        <v/>
      </c>
      <c r="Q84" s="126" t="str">
        <f>IFERROR(DATE(월총근무일과시간!$F$2,월총근무일과시간!$G$2,(TRIM(MID(SUBSTITUTE($B$83,",",REPT(" ",LEN($B$83))),(COLUMN()-COLUMN($B$84))*LEN($B$83)+1,LEN($B$83))))),"")</f>
        <v/>
      </c>
    </row>
    <row r="85" spans="1:17" ht="15" hidden="1" customHeight="1" x14ac:dyDescent="0.25">
      <c r="B85" s="225" cm="1">
        <f t="array" ref="B85">INDEX(B84:N84, MATCH(MIN(IF((DAY(B84:N84)&gt;=15)*(DAY(B84:N84)&lt;=25), ABS(DAY(B84:N84)-15))), IF((DAY(B84:N84)&gt;=15)*(DAY(B84:N84)&lt;=25), ABS(DAY(B84:QN84)-15)), 0))</f>
        <v>45732</v>
      </c>
    </row>
    <row r="86" spans="1:17" ht="15" customHeight="1" x14ac:dyDescent="0.25">
      <c r="B86" s="225"/>
    </row>
    <row r="87" spans="1:17" ht="15" hidden="1" customHeight="1" x14ac:dyDescent="0.25">
      <c r="B87" s="225"/>
    </row>
    <row r="88" spans="1:17" hidden="1" x14ac:dyDescent="0.25">
      <c r="A88" s="170" t="str">
        <f>이름기초!$B$11</f>
        <v>한영희</v>
      </c>
      <c r="B88" s="174" t="e" cm="1" vm="1">
        <f t="array" ref="B88">INDEX(B68:Q68, MATCH(MIN(IF((DAY(B68:Q68)&gt;=15)*(DAY(B68:Q68)&lt;=25), ABS(DAY(B68:Q68)-15))), IF((DAY(B68:Q68)&gt;=15)*(DAY(B68:Q68)&lt;=25), ABS(DAY(B68:Q68)-15)), 0))</f>
        <v>#VALUE!</v>
      </c>
    </row>
    <row r="89" spans="1:17" hidden="1" x14ac:dyDescent="0.25">
      <c r="A89" s="170" t="str">
        <f>이름기초!$B$12</f>
        <v>장영대</v>
      </c>
      <c r="B89" s="174" cm="1">
        <f t="array" ref="B89">INDEX(B69:Q69, MATCH(MIN(IF((DAY(B69:Q69)&gt;=15)*(DAY(B69:Q69)&lt;=25), ABS(DAY(B69:Q69)-15))), IF((DAY(B69:Q69)&gt;=15)*(DAY(B69:Q69)&lt;=25), ABS(DAY(B69:Q69)-15)), 0))</f>
        <v>45735</v>
      </c>
    </row>
    <row r="90" spans="1:17" hidden="1" x14ac:dyDescent="0.25">
      <c r="A90" s="170" t="str">
        <f>이름기초!$B$13</f>
        <v>위선옥</v>
      </c>
      <c r="B90" s="174" cm="1">
        <f t="array" ref="B90">INDEX(B70:Q70, MATCH(MIN(IF((DAY(B70:Q70)&gt;=15)*(DAY(B70:Q70)&lt;=25), ABS(DAY(B70:Q70)-15))), IF((DAY(B70:Q70)&gt;=15)*(DAY(B70:Q70)&lt;=25), ABS(DAY(B70:Q70)-15)), 0))</f>
        <v>45731</v>
      </c>
    </row>
    <row r="91" spans="1:17" hidden="1" x14ac:dyDescent="0.25">
      <c r="A91" s="170" t="str">
        <f>이름기초!$B$14</f>
        <v>오광웅</v>
      </c>
      <c r="B91" s="174" cm="1">
        <f t="array" ref="B91">INDEX(B71:Q71, MATCH(MIN(IF((DAY(B71:Q71)&gt;=15)*(DAY(B71:Q71)&lt;=25), ABS(DAY(B71:Q71)-15))), IF((DAY(B71:Q71)&gt;=15)*(DAY(B71:Q71)&lt;=25), ABS(DAY(B71:Q71)-15)), 0))</f>
        <v>45731</v>
      </c>
      <c r="K91" s="122" t="e" vm="1">
        <f>AND(NOT(ISBLANK(B68)), OR(WEEKDAY(B68)=1, WEEKDAY(B68)=7))</f>
        <v>#VALUE!</v>
      </c>
    </row>
    <row r="92" spans="1:17" hidden="1" x14ac:dyDescent="0.25">
      <c r="A92" s="170" t="str">
        <f>이름기초!$B$15</f>
        <v>안성용</v>
      </c>
      <c r="B92" s="174" cm="1">
        <f t="array" ref="B92">INDEX(B72:Q72, MATCH(MIN(IF((DAY(B72:Q72)&gt;=15)*(DAY(B72:Q72)&lt;=25), ABS(DAY(B72:Q72)-15))), IF((DAY(B72:Q72)&gt;=15)*(DAY(B72:Q72)&lt;=25), ABS(DAY(B72:Q72)-15)), 0))</f>
        <v>45731</v>
      </c>
    </row>
    <row r="93" spans="1:17" hidden="1" x14ac:dyDescent="0.25">
      <c r="A93" s="170" t="str">
        <f>이름기초!$B$16</f>
        <v>신대진</v>
      </c>
      <c r="B93" s="174" t="e" cm="1" vm="1">
        <f t="array" ref="B93">INDEX(B73:Q73, MATCH(MIN(IF((DAY(B73:Q73)&gt;=15)*(DAY(B73:Q73)&lt;=25), ABS(DAY(B73:Q73)-15))), IF((DAY(B73:Q73)&gt;=15)*(DAY(B73:Q73)&lt;=25), ABS(DAY(B73:Q73)-15)), 0))</f>
        <v>#VALUE!</v>
      </c>
    </row>
    <row r="94" spans="1:17" hidden="1" x14ac:dyDescent="0.25">
      <c r="A94" s="170" t="str">
        <f>이름기초!$B$17</f>
        <v>김대화</v>
      </c>
      <c r="B94" s="174" cm="1">
        <f t="array" ref="B94">INDEX(B74:Q74, MATCH(MIN(IF((DAY(B74:Q74)&gt;=15)*(DAY(B74:Q74)&lt;=25), ABS(DAY(B74:Q74)-15))), IF((DAY(B74:Q74)&gt;=15)*(DAY(B74:Q74)&lt;=25), ABS(DAY(B74:Q74)-15)), 0))</f>
        <v>45733</v>
      </c>
    </row>
    <row r="95" spans="1:17" hidden="1" x14ac:dyDescent="0.25">
      <c r="A95" s="170" t="str">
        <f>이름기초!$B$18</f>
        <v>김제원</v>
      </c>
      <c r="B95" s="174" cm="1">
        <f t="array" ref="B95">INDEX(B75:Q75, MATCH(MIN(IF((DAY(B75:Q75)&gt;=15)*(DAY(B75:Q75)&lt;=25), ABS(DAY(B75:Q75)-15))), IF((DAY(B75:Q75)&gt;=15)*(DAY(B75:Q75)&lt;=25), ABS(DAY(B75:Q75)-15)), 0))</f>
        <v>45731</v>
      </c>
    </row>
    <row r="96" spans="1:17" hidden="1" x14ac:dyDescent="0.25">
      <c r="A96" s="170" t="str">
        <f>이름기초!$B$19</f>
        <v>공란</v>
      </c>
      <c r="B96" s="174" t="e" cm="1" vm="1">
        <f t="array" ref="B96">INDEX(B76:Q76, MATCH(MIN(IF((DAY(B76:Q76)&gt;=15)*(DAY(B76:Q76)&lt;=25), ABS(DAY(B76:Q76)-15))), IF((DAY(B76:Q76)&gt;=15)*(DAY(B76:Q76)&lt;=25), ABS(DAY(B76:Q76)-15)), 0))</f>
        <v>#VALUE!</v>
      </c>
    </row>
    <row r="97" spans="2:2" hidden="1" x14ac:dyDescent="0.25">
      <c r="B97" s="122" t="s">
        <v>126</v>
      </c>
    </row>
    <row r="98" spans="2:2" hidden="1" x14ac:dyDescent="0.25">
      <c r="B98" s="122" t="s">
        <v>125</v>
      </c>
    </row>
  </sheetData>
  <mergeCells count="4">
    <mergeCell ref="H34:J34"/>
    <mergeCell ref="H25:M25"/>
    <mergeCell ref="B26:B27"/>
    <mergeCell ref="B28:B29"/>
  </mergeCells>
  <phoneticPr fontId="16" type="noConversion"/>
  <conditionalFormatting sqref="B68:O76">
    <cfRule type="expression" dxfId="7" priority="3">
      <formula>AND(NOT(ISBLANK(B68)), OR(WEEKDAY(B68)=1, WEEKDAY(B68)=7))</formula>
    </cfRule>
    <cfRule type="expression" dxfId="6" priority="4">
      <formula>OR(AND($A68=$G$26, B68=$F$26), AND($A68=$G$27,B68=$F$27), AND($A68=$G$28,B68=$F$28), AND($A68=$G$29,B68=$F$29), AND($A68=$G$30,B68=$F$30), AND($A68=$G$31,B68=$F$31), AND($A68=$G$32,B68=$F$32))</formula>
    </cfRule>
  </conditionalFormatting>
  <conditionalFormatting sqref="H26:L32">
    <cfRule type="expression" dxfId="5" priority="7">
      <formula>AND(NOT(ISBLANK(H26)),OR($F26=H26))</formula>
    </cfRule>
  </conditionalFormatting>
  <conditionalFormatting sqref="B81:Q81">
    <cfRule type="expression" dxfId="4" priority="2">
      <formula>AND(NOT(ISBLANK(B$81)), OR(WEEKDAY(B$81)=1, WEEKDAY(B$81)=7))</formula>
    </cfRule>
  </conditionalFormatting>
  <conditionalFormatting sqref="B84:Q84">
    <cfRule type="expression" dxfId="3" priority="1">
      <formula>AND(NOT(ISBLANK(B$84)), OR(WEEKDAY(B$84)=1, WEEKDAY(B$84)=7))</formula>
    </cfRule>
  </conditionalFormatting>
  <dataValidations count="2">
    <dataValidation type="list" allowBlank="1" showInputMessage="1" showErrorMessage="1" sqref="G26:G33 C26:D30 C38:C45 G38:G45" xr:uid="{DB52413D-E737-440D-8B0B-8C3CCA4EA9E4}">
      <formula1>성명</formula1>
    </dataValidation>
    <dataValidation type="list" allowBlank="1" showInputMessage="1" showErrorMessage="1" sqref="C46:C50 G46:G50 K46:K50" xr:uid="{60016C10-361E-4879-A2C7-62A11AFD96EE}">
      <formula1>월차처리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33F50-C580-4A37-8DB7-134E3890CC11}">
  <dimension ref="A1:R32"/>
  <sheetViews>
    <sheetView topLeftCell="A7" workbookViewId="0">
      <selection activeCell="J5" sqref="J5"/>
    </sheetView>
  </sheetViews>
  <sheetFormatPr defaultRowHeight="13.2" x14ac:dyDescent="0.25"/>
  <cols>
    <col min="1" max="1" width="11" bestFit="1" customWidth="1"/>
    <col min="4" max="4" width="9.109375" bestFit="1" customWidth="1"/>
    <col min="5" max="5" width="9.109375" customWidth="1"/>
    <col min="6" max="7" width="9.109375" bestFit="1" customWidth="1"/>
    <col min="12" max="12" width="12.109375" style="39" bestFit="1" customWidth="1"/>
    <col min="13" max="18" width="12.109375" bestFit="1" customWidth="1"/>
  </cols>
  <sheetData>
    <row r="1" spans="1:18" x14ac:dyDescent="0.25">
      <c r="D1" s="92">
        <v>1</v>
      </c>
      <c r="E1" s="92">
        <v>2</v>
      </c>
      <c r="F1" s="92">
        <v>3</v>
      </c>
      <c r="G1" s="92">
        <v>4</v>
      </c>
      <c r="H1" s="92">
        <v>5</v>
      </c>
      <c r="I1" s="92">
        <v>6</v>
      </c>
      <c r="J1" s="92">
        <v>7</v>
      </c>
      <c r="L1" s="94" cm="1">
        <f t="array" ref="L1">IFERROR(INDEX(D:D, SMALL(IF(D:D&lt;&gt;"", ROW(D:D), ""), ROWS(L$1:L1))), "")</f>
        <v>1</v>
      </c>
      <c r="M1" s="94" cm="1">
        <f t="array" ref="M1">IFERROR(INDEX(E:E, SMALL(IF(E:E&lt;&gt;"", ROW(E:E), ""), ROWS(M$1:M1))), "")</f>
        <v>2</v>
      </c>
      <c r="N1" s="94" cm="1">
        <f t="array" ref="N1">IFERROR(INDEX(F:F, SMALL(IF(F:F&lt;&gt;"", ROW(F:F), ""), ROWS(N$1:N1))), "")</f>
        <v>3</v>
      </c>
      <c r="O1" s="94" cm="1">
        <f t="array" ref="O1">IFERROR(INDEX(G:G, SMALL(IF(G:G&lt;&gt;"", ROW(G:G), ""), ROWS(O$1:O1))), "")</f>
        <v>4</v>
      </c>
      <c r="P1" s="94" cm="1">
        <f t="array" ref="P1">IFERROR(INDEX(H:H, SMALL(IF(H:H&lt;&gt;"", ROW(H:H), ""), ROWS(P$1:P1))), "")</f>
        <v>5</v>
      </c>
      <c r="Q1" s="94" cm="1">
        <f t="array" ref="Q1">IFERROR(INDEX(I:I, SMALL(IF(I:I&lt;&gt;"", ROW(I:I), ""), ROWS(Q$1:Q1))), "")</f>
        <v>6</v>
      </c>
      <c r="R1" s="94" cm="1">
        <f t="array" ref="R1">IFERROR(INDEX(J:J, SMALL(IF(J:J&lt;&gt;"", ROW(J:J), ""), ROWS(R$1:R1))), "")</f>
        <v>7</v>
      </c>
    </row>
    <row r="2" spans="1:18" x14ac:dyDescent="0.25">
      <c r="A2" s="39">
        <f>DATE(월총근무일과시간!F2,월총근무일과시간!G2,1)</f>
        <v>45717</v>
      </c>
      <c r="B2">
        <f>WEEKDAY(A2,1)</f>
        <v>7</v>
      </c>
      <c r="D2" s="93">
        <f>IF(WEEKDAY(A2, 1)=IF($D$1=1, 7, $D$1-1),A2, "")</f>
        <v>45717</v>
      </c>
      <c r="E2" s="93" t="str">
        <f>IF(WEEKDAY(A2, 1) =$E$1-1,A2, "")</f>
        <v/>
      </c>
      <c r="F2" s="93" t="str">
        <f>IF(WEEKDAY(A2,1)=IF($F$1=1, 7, $F$1-1),A2, "")</f>
        <v/>
      </c>
      <c r="G2" s="93" t="str">
        <f>IF(WEEKDAY(A2, 1)=IF($G$1=1, 7, $G$1-1),A2, "")</f>
        <v/>
      </c>
      <c r="H2" s="93" t="str">
        <f>IF(WEEKDAY(A2,1)=IF($H$1=1, 7, $H$1-1),A2, "")</f>
        <v/>
      </c>
      <c r="I2" s="93" t="str">
        <f>IF(WEEKDAY(A2,1)=IF($I$1=1, 7, $I$1-1),A2, "")</f>
        <v/>
      </c>
      <c r="J2" s="93" t="str">
        <f>IF(WEEKDAY(A2, 1)=IF($J$1=1, 7, $J$1-1),A2, "")</f>
        <v/>
      </c>
      <c r="L2" s="95" cm="1">
        <f t="array" ref="L2">IFERROR(INDEX(D:D, SMALL(IF(D:D&lt;&gt;"", ROW(D:D), ""), ROWS(L$1:L2))), "")</f>
        <v>45717</v>
      </c>
      <c r="M2" s="95" cm="1">
        <f t="array" ref="M2">IFERROR(INDEX(E:E, SMALL(IF(E:E&lt;&gt;"", ROW(E:E), ""), ROWS(M$1:M2))), "")</f>
        <v>45718</v>
      </c>
      <c r="N2" s="95" cm="1">
        <f t="array" ref="N2">IFERROR(INDEX(F:F, SMALL(IF(F:F&lt;&gt;"", ROW(F:F), ""), ROWS(N$1:N2))), "")</f>
        <v>45719</v>
      </c>
      <c r="O2" s="95" cm="1">
        <f t="array" ref="O2">IFERROR(INDEX(G:G, SMALL(IF(G:G&lt;&gt;"", ROW(G:G), ""), ROWS(O$1:O2))), "")</f>
        <v>45720</v>
      </c>
      <c r="P2" s="95" cm="1">
        <f t="array" ref="P2">IFERROR(INDEX(H:H, SMALL(IF(H:H&lt;&gt;"", ROW(H:H), ""), ROWS(P$1:P2))), "")</f>
        <v>45721</v>
      </c>
      <c r="Q2" s="95" cm="1">
        <f t="array" ref="Q2">IFERROR(INDEX(I:I, SMALL(IF(I:I&lt;&gt;"", ROW(I:I), ""), ROWS(Q$1:Q2))), "")</f>
        <v>45722</v>
      </c>
      <c r="R2" s="95" cm="1">
        <f t="array" ref="R2">IFERROR(INDEX(J:J, SMALL(IF(J:J&lt;&gt;"", ROW(J:J), ""), ROWS(R$1:R2))), "")</f>
        <v>45723</v>
      </c>
    </row>
    <row r="3" spans="1:18" x14ac:dyDescent="0.25">
      <c r="A3" s="91">
        <f>A2+1</f>
        <v>45718</v>
      </c>
      <c r="B3">
        <f t="shared" ref="B3:B32" si="0">WEEKDAY(A3,1)</f>
        <v>1</v>
      </c>
      <c r="D3" s="93" t="str">
        <f t="shared" ref="D3:D32" si="1">IF(WEEKDAY(A3, 1)=IF($D$1=1, 7, $D$1-1),A3, "")</f>
        <v/>
      </c>
      <c r="E3" s="93">
        <f t="shared" ref="E3:E32" si="2">IF(WEEKDAY(A3, 1) =$E$1-1,A3, "")</f>
        <v>45718</v>
      </c>
      <c r="F3" s="93" t="str">
        <f t="shared" ref="F3:F32" si="3">IF(WEEKDAY(A3,1)=IF($F$1=1, 7, $F$1-1),A3, "")</f>
        <v/>
      </c>
      <c r="G3" s="93" t="str">
        <f t="shared" ref="G3:G32" si="4">IF(WEEKDAY(A3, 1)=IF($G$1=1, 7, $G$1-1),A3, "")</f>
        <v/>
      </c>
      <c r="H3" s="93" t="str">
        <f t="shared" ref="H3:H32" si="5">IF(WEEKDAY(A3,1)=IF($H$1=1, 7, $H$1-1),A3, "")</f>
        <v/>
      </c>
      <c r="I3" s="93" t="str">
        <f t="shared" ref="I3:I32" si="6">IF(WEEKDAY(A3,1)=IF($I$1=1, 7, $I$1-1),A3, "")</f>
        <v/>
      </c>
      <c r="J3" s="93" t="str">
        <f t="shared" ref="J3:J32" si="7">IF(WEEKDAY(A3, 1)=IF($J$1=1, 7, $J$1-1),A3, "")</f>
        <v/>
      </c>
      <c r="L3" s="95" cm="1">
        <f t="array" ref="L3">IFERROR(INDEX(D:D, SMALL(IF(D:D&lt;&gt;"", ROW(D:D), ""), ROWS(L$1:L3))), "")</f>
        <v>45724</v>
      </c>
      <c r="M3" s="95" cm="1">
        <f t="array" ref="M3">IFERROR(INDEX(E:E, SMALL(IF(E:E&lt;&gt;"", ROW(E:E), ""), ROWS(M$1:M3))), "")</f>
        <v>45725</v>
      </c>
      <c r="N3" s="95" cm="1">
        <f t="array" ref="N3">IFERROR(INDEX(F:F, SMALL(IF(F:F&lt;&gt;"", ROW(F:F), ""), ROWS(N$1:N3))), "")</f>
        <v>45726</v>
      </c>
      <c r="O3" s="95" cm="1">
        <f t="array" ref="O3">IFERROR(INDEX(G:G, SMALL(IF(G:G&lt;&gt;"", ROW(G:G), ""), ROWS(O$1:O3))), "")</f>
        <v>45727</v>
      </c>
      <c r="P3" s="95" cm="1">
        <f t="array" ref="P3">IFERROR(INDEX(H:H, SMALL(IF(H:H&lt;&gt;"", ROW(H:H), ""), ROWS(P$1:P3))), "")</f>
        <v>45728</v>
      </c>
      <c r="Q3" s="95" cm="1">
        <f t="array" ref="Q3">IFERROR(INDEX(I:I, SMALL(IF(I:I&lt;&gt;"", ROW(I:I), ""), ROWS(Q$1:Q3))), "")</f>
        <v>45729</v>
      </c>
      <c r="R3" s="95" cm="1">
        <f t="array" ref="R3">IFERROR(INDEX(J:J, SMALL(IF(J:J&lt;&gt;"", ROW(J:J), ""), ROWS(R$1:R3))), "")</f>
        <v>45730</v>
      </c>
    </row>
    <row r="4" spans="1:18" x14ac:dyDescent="0.25">
      <c r="A4" s="91">
        <f t="shared" ref="A4:A27" si="8">A3+1</f>
        <v>45719</v>
      </c>
      <c r="B4">
        <f t="shared" si="0"/>
        <v>2</v>
      </c>
      <c r="D4" s="93" t="str">
        <f t="shared" si="1"/>
        <v/>
      </c>
      <c r="E4" s="93" t="str">
        <f t="shared" si="2"/>
        <v/>
      </c>
      <c r="F4" s="93">
        <f t="shared" si="3"/>
        <v>45719</v>
      </c>
      <c r="G4" s="93" t="str">
        <f t="shared" si="4"/>
        <v/>
      </c>
      <c r="H4" s="93" t="str">
        <f t="shared" si="5"/>
        <v/>
      </c>
      <c r="I4" s="93" t="str">
        <f t="shared" si="6"/>
        <v/>
      </c>
      <c r="J4" s="93" t="str">
        <f t="shared" si="7"/>
        <v/>
      </c>
      <c r="L4" s="95" cm="1">
        <f t="array" ref="L4">IFERROR(INDEX(D:D, SMALL(IF(D:D&lt;&gt;"", ROW(D:D), ""), ROWS(L$1:L4))), "")</f>
        <v>45731</v>
      </c>
      <c r="M4" s="95" cm="1">
        <f t="array" ref="M4">IFERROR(INDEX(E:E, SMALL(IF(E:E&lt;&gt;"", ROW(E:E), ""), ROWS(M$1:M4))), "")</f>
        <v>45732</v>
      </c>
      <c r="N4" s="95" cm="1">
        <f t="array" ref="N4">IFERROR(INDEX(F:F, SMALL(IF(F:F&lt;&gt;"", ROW(F:F), ""), ROWS(N$1:N4))), "")</f>
        <v>45733</v>
      </c>
      <c r="O4" s="95" cm="1">
        <f t="array" ref="O4">IFERROR(INDEX(G:G, SMALL(IF(G:G&lt;&gt;"", ROW(G:G), ""), ROWS(O$1:O4))), "")</f>
        <v>45734</v>
      </c>
      <c r="P4" s="95" cm="1">
        <f t="array" ref="P4">IFERROR(INDEX(H:H, SMALL(IF(H:H&lt;&gt;"", ROW(H:H), ""), ROWS(P$1:P4))), "")</f>
        <v>45735</v>
      </c>
      <c r="Q4" s="95" cm="1">
        <f t="array" ref="Q4">IFERROR(INDEX(I:I, SMALL(IF(I:I&lt;&gt;"", ROW(I:I), ""), ROWS(Q$1:Q4))), "")</f>
        <v>45736</v>
      </c>
      <c r="R4" s="95" cm="1">
        <f t="array" ref="R4">IFERROR(INDEX(J:J, SMALL(IF(J:J&lt;&gt;"", ROW(J:J), ""), ROWS(R$1:R4))), "")</f>
        <v>45737</v>
      </c>
    </row>
    <row r="5" spans="1:18" x14ac:dyDescent="0.25">
      <c r="A5" s="91">
        <f t="shared" si="8"/>
        <v>45720</v>
      </c>
      <c r="B5">
        <f t="shared" si="0"/>
        <v>3</v>
      </c>
      <c r="D5" s="93" t="str">
        <f t="shared" si="1"/>
        <v/>
      </c>
      <c r="E5" s="93" t="str">
        <f t="shared" si="2"/>
        <v/>
      </c>
      <c r="F5" s="93" t="str">
        <f t="shared" si="3"/>
        <v/>
      </c>
      <c r="G5" s="93">
        <f t="shared" si="4"/>
        <v>45720</v>
      </c>
      <c r="H5" s="93" t="str">
        <f t="shared" si="5"/>
        <v/>
      </c>
      <c r="I5" s="93" t="str">
        <f t="shared" si="6"/>
        <v/>
      </c>
      <c r="J5" s="93" t="str">
        <f t="shared" si="7"/>
        <v/>
      </c>
      <c r="L5" s="95" cm="1">
        <f t="array" ref="L5">IFERROR(INDEX(D:D, SMALL(IF(D:D&lt;&gt;"", ROW(D:D), ""), ROWS(L$1:L5))), "")</f>
        <v>45738</v>
      </c>
      <c r="M5" s="95" cm="1">
        <f t="array" ref="M5">IFERROR(INDEX(E:E, SMALL(IF(E:E&lt;&gt;"", ROW(E:E), ""), ROWS(M$1:M5))), "")</f>
        <v>45739</v>
      </c>
      <c r="N5" s="95" cm="1">
        <f t="array" ref="N5">IFERROR(INDEX(F:F, SMALL(IF(F:F&lt;&gt;"", ROW(F:F), ""), ROWS(N$1:N5))), "")</f>
        <v>45740</v>
      </c>
      <c r="O5" s="95" cm="1">
        <f t="array" ref="O5">IFERROR(INDEX(G:G, SMALL(IF(G:G&lt;&gt;"", ROW(G:G), ""), ROWS(O$1:O5))), "")</f>
        <v>45741</v>
      </c>
      <c r="P5" s="95" cm="1">
        <f t="array" ref="P5">IFERROR(INDEX(H:H, SMALL(IF(H:H&lt;&gt;"", ROW(H:H), ""), ROWS(P$1:P5))), "")</f>
        <v>45742</v>
      </c>
      <c r="Q5" s="95" cm="1">
        <f t="array" ref="Q5">IFERROR(INDEX(I:I, SMALL(IF(I:I&lt;&gt;"", ROW(I:I), ""), ROWS(Q$1:Q5))), "")</f>
        <v>45743</v>
      </c>
      <c r="R5" s="95" cm="1">
        <f t="array" ref="R5">IFERROR(INDEX(J:J, SMALL(IF(J:J&lt;&gt;"", ROW(J:J), ""), ROWS(R$1:R5))), "")</f>
        <v>45744</v>
      </c>
    </row>
    <row r="6" spans="1:18" x14ac:dyDescent="0.25">
      <c r="A6" s="91">
        <f t="shared" si="8"/>
        <v>45721</v>
      </c>
      <c r="B6">
        <f t="shared" si="0"/>
        <v>4</v>
      </c>
      <c r="D6" s="93" t="str">
        <f t="shared" si="1"/>
        <v/>
      </c>
      <c r="E6" s="93" t="str">
        <f t="shared" si="2"/>
        <v/>
      </c>
      <c r="F6" s="93" t="str">
        <f t="shared" si="3"/>
        <v/>
      </c>
      <c r="G6" s="93" t="str">
        <f t="shared" si="4"/>
        <v/>
      </c>
      <c r="H6" s="93">
        <f t="shared" si="5"/>
        <v>45721</v>
      </c>
      <c r="I6" s="93" t="str">
        <f t="shared" si="6"/>
        <v/>
      </c>
      <c r="J6" s="93" t="str">
        <f t="shared" si="7"/>
        <v/>
      </c>
      <c r="L6" s="95" cm="1">
        <f t="array" ref="L6">IFERROR(INDEX(D:D, SMALL(IF(D:D&lt;&gt;"", ROW(D:D), ""), ROWS(L$1:L6))), "")</f>
        <v>45745</v>
      </c>
      <c r="M6" s="95" cm="1">
        <f t="array" ref="M6">IFERROR(INDEX(E:E, SMALL(IF(E:E&lt;&gt;"", ROW(E:E), ""), ROWS(M$1:M6))), "")</f>
        <v>45746</v>
      </c>
      <c r="N6" s="95" cm="1">
        <f t="array" ref="N6">IFERROR(INDEX(F:F, SMALL(IF(F:F&lt;&gt;"", ROW(F:F), ""), ROWS(N$1:N6))), "")</f>
        <v>45747</v>
      </c>
      <c r="O6" s="95" t="str" cm="1">
        <f t="array" ref="O6">IFERROR(INDEX(G:G, SMALL(IF(G:G&lt;&gt;"", ROW(G:G), ""), ROWS(O$1:O6))), "")</f>
        <v/>
      </c>
      <c r="P6" s="95" t="str" cm="1">
        <f t="array" ref="P6">IFERROR(INDEX(H:H, SMALL(IF(H:H&lt;&gt;"", ROW(H:H), ""), ROWS(P$1:P6))), "")</f>
        <v/>
      </c>
      <c r="Q6" s="95" t="str" cm="1">
        <f t="array" ref="Q6">IFERROR(INDEX(I:I, SMALL(IF(I:I&lt;&gt;"", ROW(I:I), ""), ROWS(Q$1:Q6))), "")</f>
        <v/>
      </c>
      <c r="R6" s="95" t="str" cm="1">
        <f t="array" ref="R6">IFERROR(INDEX(J:J, SMALL(IF(J:J&lt;&gt;"", ROW(J:J), ""), ROWS(R$1:R6))), "")</f>
        <v/>
      </c>
    </row>
    <row r="7" spans="1:18" x14ac:dyDescent="0.25">
      <c r="A7" s="91">
        <f t="shared" si="8"/>
        <v>45722</v>
      </c>
      <c r="B7">
        <f t="shared" si="0"/>
        <v>5</v>
      </c>
      <c r="D7" s="93" t="str">
        <f t="shared" si="1"/>
        <v/>
      </c>
      <c r="E7" s="93" t="str">
        <f t="shared" si="2"/>
        <v/>
      </c>
      <c r="F7" s="93" t="str">
        <f t="shared" si="3"/>
        <v/>
      </c>
      <c r="G7" s="93" t="str">
        <f t="shared" si="4"/>
        <v/>
      </c>
      <c r="H7" s="93" t="str">
        <f t="shared" si="5"/>
        <v/>
      </c>
      <c r="I7" s="93">
        <f t="shared" si="6"/>
        <v>45722</v>
      </c>
      <c r="J7" s="93" t="str">
        <f t="shared" si="7"/>
        <v/>
      </c>
      <c r="L7" s="95" t="str" cm="1">
        <f t="array" ref="L7">IFERROR(INDEX(D:D, SMALL(IF(D:D&lt;&gt;"", ROW(D:D), ""), ROWS(L$1:L7))), "")</f>
        <v/>
      </c>
      <c r="M7" s="95" t="str" cm="1">
        <f t="array" ref="M7">IFERROR(INDEX(E:E, SMALL(IF(E:E&lt;&gt;"", ROW(E:E), ""), ROWS(M$1:M7))), "")</f>
        <v/>
      </c>
      <c r="N7" s="95" t="str" cm="1">
        <f t="array" ref="N7">IFERROR(INDEX(F:F, SMALL(IF(F:F&lt;&gt;"", ROW(F:F), ""), ROWS(N$1:N7))), "")</f>
        <v/>
      </c>
      <c r="O7" s="95" t="str" cm="1">
        <f t="array" ref="O7">IFERROR(INDEX(G:G, SMALL(IF(G:G&lt;&gt;"", ROW(G:G), ""), ROWS(O$1:O7))), "")</f>
        <v/>
      </c>
      <c r="P7" s="95" t="str" cm="1">
        <f t="array" ref="P7">IFERROR(INDEX(H:H, SMALL(IF(H:H&lt;&gt;"", ROW(H:H), ""), ROWS(P$1:P7))), "")</f>
        <v/>
      </c>
      <c r="Q7" s="95" t="str" cm="1">
        <f t="array" ref="Q7">IFERROR(INDEX(I:I, SMALL(IF(I:I&lt;&gt;"", ROW(I:I), ""), ROWS(Q$1:Q7))), "")</f>
        <v/>
      </c>
      <c r="R7" s="95" t="str" cm="1">
        <f t="array" ref="R7">IFERROR(INDEX(J:J, SMALL(IF(J:J&lt;&gt;"", ROW(J:J), ""), ROWS(R$1:R7))), "")</f>
        <v/>
      </c>
    </row>
    <row r="8" spans="1:18" x14ac:dyDescent="0.25">
      <c r="A8" s="91">
        <f t="shared" si="8"/>
        <v>45723</v>
      </c>
      <c r="B8">
        <f t="shared" si="0"/>
        <v>6</v>
      </c>
      <c r="D8" s="93" t="str">
        <f t="shared" si="1"/>
        <v/>
      </c>
      <c r="E8" s="93" t="str">
        <f t="shared" si="2"/>
        <v/>
      </c>
      <c r="F8" s="93" t="str">
        <f t="shared" si="3"/>
        <v/>
      </c>
      <c r="G8" s="93" t="str">
        <f t="shared" si="4"/>
        <v/>
      </c>
      <c r="H8" s="93" t="str">
        <f t="shared" si="5"/>
        <v/>
      </c>
      <c r="I8" s="93" t="str">
        <f t="shared" si="6"/>
        <v/>
      </c>
      <c r="J8" s="93">
        <f t="shared" si="7"/>
        <v>45723</v>
      </c>
      <c r="L8" s="95" t="str" cm="1">
        <f t="array" ref="L8">IFERROR(INDEX(D:D, SMALL(IF(D:D&lt;&gt;"", ROW(D:D), ""), ROWS(L$1:L8))), "")</f>
        <v/>
      </c>
      <c r="M8" s="95" t="str" cm="1">
        <f t="array" ref="M8">IFERROR(INDEX(E:E, SMALL(IF(E:E&lt;&gt;"", ROW(E:E), ""), ROWS(M$1:M8))), "")</f>
        <v/>
      </c>
      <c r="N8" s="95" t="str" cm="1">
        <f t="array" ref="N8">IFERROR(INDEX(F:F, SMALL(IF(F:F&lt;&gt;"", ROW(F:F), ""), ROWS(N$1:N8))), "")</f>
        <v/>
      </c>
      <c r="O8" s="95" t="str" cm="1">
        <f t="array" ref="O8">IFERROR(INDEX(G:G, SMALL(IF(G:G&lt;&gt;"", ROW(G:G), ""), ROWS(O$1:O8))), "")</f>
        <v/>
      </c>
      <c r="P8" s="95" t="str" cm="1">
        <f t="array" ref="P8">IFERROR(INDEX(H:H, SMALL(IF(H:H&lt;&gt;"", ROW(H:H), ""), ROWS(P$1:P8))), "")</f>
        <v/>
      </c>
      <c r="Q8" s="95" t="str" cm="1">
        <f t="array" ref="Q8">IFERROR(INDEX(I:I, SMALL(IF(I:I&lt;&gt;"", ROW(I:I), ""), ROWS(Q$1:Q8))), "")</f>
        <v/>
      </c>
      <c r="R8" s="95" t="str" cm="1">
        <f t="array" ref="R8">IFERROR(INDEX(J:J, SMALL(IF(J:J&lt;&gt;"", ROW(J:J), ""), ROWS(R$1:R8))), "")</f>
        <v/>
      </c>
    </row>
    <row r="9" spans="1:18" x14ac:dyDescent="0.25">
      <c r="A9" s="91">
        <f t="shared" si="8"/>
        <v>45724</v>
      </c>
      <c r="B9">
        <f t="shared" si="0"/>
        <v>7</v>
      </c>
      <c r="D9" s="93">
        <f t="shared" si="1"/>
        <v>45724</v>
      </c>
      <c r="E9" s="93" t="str">
        <f t="shared" si="2"/>
        <v/>
      </c>
      <c r="F9" s="93" t="str">
        <f t="shared" si="3"/>
        <v/>
      </c>
      <c r="G9" s="93" t="str">
        <f t="shared" si="4"/>
        <v/>
      </c>
      <c r="H9" s="93" t="str">
        <f t="shared" si="5"/>
        <v/>
      </c>
      <c r="I9" s="93" t="str">
        <f t="shared" si="6"/>
        <v/>
      </c>
      <c r="J9" s="93" t="str">
        <f t="shared" si="7"/>
        <v/>
      </c>
      <c r="L9" s="95" t="str" cm="1">
        <f t="array" ref="L9">IFERROR(INDEX(D:D, SMALL(IF(D:D&lt;&gt;"", ROW(D:D), ""), ROWS(L$1:L9))), "")</f>
        <v/>
      </c>
      <c r="M9" s="95" t="str" cm="1">
        <f t="array" ref="M9">IFERROR(INDEX(E:E, SMALL(IF(E:E&lt;&gt;"", ROW(E:E), ""), ROWS(M$1:M9))), "")</f>
        <v/>
      </c>
      <c r="N9" s="95" t="str" cm="1">
        <f t="array" ref="N9">IFERROR(INDEX(F:F, SMALL(IF(F:F&lt;&gt;"", ROW(F:F), ""), ROWS(N$1:N9))), "")</f>
        <v/>
      </c>
      <c r="O9" s="95" t="str" cm="1">
        <f t="array" ref="O9">IFERROR(INDEX(G:G, SMALL(IF(G:G&lt;&gt;"", ROW(G:G), ""), ROWS(O$1:O9))), "")</f>
        <v/>
      </c>
      <c r="P9" s="95" t="str" cm="1">
        <f t="array" ref="P9">IFERROR(INDEX(H:H, SMALL(IF(H:H&lt;&gt;"", ROW(H:H), ""), ROWS(P$1:P9))), "")</f>
        <v/>
      </c>
      <c r="Q9" s="95" t="str" cm="1">
        <f t="array" ref="Q9">IFERROR(INDEX(I:I, SMALL(IF(I:I&lt;&gt;"", ROW(I:I), ""), ROWS(Q$1:Q9))), "")</f>
        <v/>
      </c>
      <c r="R9" s="95" t="str" cm="1">
        <f t="array" ref="R9">IFERROR(INDEX(J:J, SMALL(IF(J:J&lt;&gt;"", ROW(J:J), ""), ROWS(R$1:R9))), "")</f>
        <v/>
      </c>
    </row>
    <row r="10" spans="1:18" x14ac:dyDescent="0.25">
      <c r="A10" s="91">
        <f t="shared" si="8"/>
        <v>45725</v>
      </c>
      <c r="B10">
        <f t="shared" si="0"/>
        <v>1</v>
      </c>
      <c r="D10" s="93" t="str">
        <f t="shared" si="1"/>
        <v/>
      </c>
      <c r="E10" s="93">
        <f t="shared" si="2"/>
        <v>45725</v>
      </c>
      <c r="F10" s="93" t="str">
        <f t="shared" si="3"/>
        <v/>
      </c>
      <c r="G10" s="93" t="str">
        <f t="shared" si="4"/>
        <v/>
      </c>
      <c r="H10" s="93" t="str">
        <f t="shared" si="5"/>
        <v/>
      </c>
      <c r="I10" s="93" t="str">
        <f t="shared" si="6"/>
        <v/>
      </c>
      <c r="J10" s="93" t="str">
        <f t="shared" si="7"/>
        <v/>
      </c>
      <c r="L10" s="94" t="str" cm="1">
        <f t="array" ref="L10">IFERROR(INDEX(D:D, SMALL(IF(D:D&lt;&gt;"", ROW(D:D), ""), ROWS(L$1:L10))), "")</f>
        <v/>
      </c>
      <c r="M10" s="94" t="str" cm="1">
        <f t="array" ref="M10">IFERROR(INDEX(E:E, SMALL(IF(E:E&lt;&gt;"", ROW(E:E), ""), ROWS(M$1:M10))), "")</f>
        <v/>
      </c>
      <c r="N10" s="94" t="str" cm="1">
        <f t="array" ref="N10">IFERROR(INDEX(F:F, SMALL(IF(F:F&lt;&gt;"", ROW(F:F), ""), ROWS(N$1:N10))), "")</f>
        <v/>
      </c>
      <c r="O10" s="94" t="str" cm="1">
        <f t="array" ref="O10">IFERROR(INDEX(G:G, SMALL(IF(G:G&lt;&gt;"", ROW(G:G), ""), ROWS(O$1:O10))), "")</f>
        <v/>
      </c>
      <c r="P10" s="94" t="str" cm="1">
        <f t="array" ref="P10">IFERROR(INDEX(H:H, SMALL(IF(H:H&lt;&gt;"", ROW(H:H), ""), ROWS(P$1:P10))), "")</f>
        <v/>
      </c>
      <c r="Q10" s="94" t="str" cm="1">
        <f t="array" ref="Q10">IFERROR(INDEX(I:I, SMALL(IF(I:I&lt;&gt;"", ROW(I:I), ""), ROWS(Q$1:Q10))), "")</f>
        <v/>
      </c>
      <c r="R10" s="94" t="str" cm="1">
        <f t="array" ref="R10">IFERROR(INDEX(J:J, SMALL(IF(J:J&lt;&gt;"", ROW(J:J), ""), ROWS(R$1:R10))), "")</f>
        <v/>
      </c>
    </row>
    <row r="11" spans="1:18" x14ac:dyDescent="0.25">
      <c r="A11" s="91">
        <f t="shared" si="8"/>
        <v>45726</v>
      </c>
      <c r="B11">
        <f t="shared" si="0"/>
        <v>2</v>
      </c>
      <c r="D11" s="93" t="str">
        <f t="shared" si="1"/>
        <v/>
      </c>
      <c r="E11" s="93" t="str">
        <f t="shared" si="2"/>
        <v/>
      </c>
      <c r="F11" s="93">
        <f t="shared" si="3"/>
        <v>45726</v>
      </c>
      <c r="G11" s="93" t="str">
        <f t="shared" si="4"/>
        <v/>
      </c>
      <c r="H11" s="93" t="str">
        <f t="shared" si="5"/>
        <v/>
      </c>
      <c r="I11" s="93" t="str">
        <f t="shared" si="6"/>
        <v/>
      </c>
      <c r="J11" s="93" t="str">
        <f t="shared" si="7"/>
        <v/>
      </c>
      <c r="L11" s="94" t="str" cm="1">
        <f t="array" ref="L11">IFERROR(INDEX(D:D, SMALL(IF(D:D&lt;&gt;"", ROW(D:D), ""), ROWS($L$1:L11))), "")</f>
        <v/>
      </c>
    </row>
    <row r="12" spans="1:18" x14ac:dyDescent="0.25">
      <c r="A12" s="91">
        <f t="shared" si="8"/>
        <v>45727</v>
      </c>
      <c r="B12">
        <f t="shared" si="0"/>
        <v>3</v>
      </c>
      <c r="D12" s="93" t="str">
        <f t="shared" si="1"/>
        <v/>
      </c>
      <c r="E12" s="93" t="str">
        <f t="shared" si="2"/>
        <v/>
      </c>
      <c r="F12" s="93" t="str">
        <f t="shared" si="3"/>
        <v/>
      </c>
      <c r="G12" s="93">
        <f t="shared" si="4"/>
        <v>45727</v>
      </c>
      <c r="H12" s="93" t="str">
        <f t="shared" si="5"/>
        <v/>
      </c>
      <c r="I12" s="93" t="str">
        <f t="shared" si="6"/>
        <v/>
      </c>
      <c r="J12" s="93" t="str">
        <f t="shared" si="7"/>
        <v/>
      </c>
      <c r="L12" s="94" t="str" cm="1">
        <f t="array" ref="L12">IFERROR(INDEX(D:D, SMALL(IF(D:D&lt;&gt;"", ROW(D:D), ""), ROWS($L$1:L12))), "")</f>
        <v/>
      </c>
    </row>
    <row r="13" spans="1:18" x14ac:dyDescent="0.25">
      <c r="A13" s="91">
        <f t="shared" si="8"/>
        <v>45728</v>
      </c>
      <c r="B13">
        <f t="shared" si="0"/>
        <v>4</v>
      </c>
      <c r="D13" s="93" t="str">
        <f t="shared" si="1"/>
        <v/>
      </c>
      <c r="E13" s="93" t="str">
        <f t="shared" si="2"/>
        <v/>
      </c>
      <c r="F13" s="93" t="str">
        <f t="shared" si="3"/>
        <v/>
      </c>
      <c r="G13" s="93" t="str">
        <f t="shared" si="4"/>
        <v/>
      </c>
      <c r="H13" s="93">
        <f t="shared" si="5"/>
        <v>45728</v>
      </c>
      <c r="I13" s="93" t="str">
        <f t="shared" si="6"/>
        <v/>
      </c>
      <c r="J13" s="93" t="str">
        <f t="shared" si="7"/>
        <v/>
      </c>
      <c r="L13" s="94" t="str" cm="1">
        <f t="array" ref="L13">IFERROR(INDEX(D:D, SMALL(IF(D:D&lt;&gt;"", ROW(D:D), ""), ROWS($L$1:L13))), "")</f>
        <v/>
      </c>
    </row>
    <row r="14" spans="1:18" x14ac:dyDescent="0.25">
      <c r="A14" s="91">
        <f t="shared" si="8"/>
        <v>45729</v>
      </c>
      <c r="B14">
        <f t="shared" si="0"/>
        <v>5</v>
      </c>
      <c r="D14" s="93" t="str">
        <f t="shared" si="1"/>
        <v/>
      </c>
      <c r="E14" s="93" t="str">
        <f t="shared" si="2"/>
        <v/>
      </c>
      <c r="F14" s="93" t="str">
        <f t="shared" si="3"/>
        <v/>
      </c>
      <c r="G14" s="93" t="str">
        <f t="shared" si="4"/>
        <v/>
      </c>
      <c r="H14" s="93" t="str">
        <f t="shared" si="5"/>
        <v/>
      </c>
      <c r="I14" s="93">
        <f t="shared" si="6"/>
        <v>45729</v>
      </c>
      <c r="J14" s="93" t="str">
        <f t="shared" si="7"/>
        <v/>
      </c>
      <c r="L14" s="94" t="str" cm="1">
        <f t="array" ref="L14">IFERROR(INDEX(D:D, SMALL(IF(D:D&lt;&gt;"", ROW(D:D), ""), ROWS($L$1:L14))), "")</f>
        <v/>
      </c>
    </row>
    <row r="15" spans="1:18" x14ac:dyDescent="0.25">
      <c r="A15" s="91">
        <f t="shared" si="8"/>
        <v>45730</v>
      </c>
      <c r="B15">
        <f t="shared" si="0"/>
        <v>6</v>
      </c>
      <c r="D15" s="93" t="str">
        <f t="shared" si="1"/>
        <v/>
      </c>
      <c r="E15" s="93" t="str">
        <f t="shared" si="2"/>
        <v/>
      </c>
      <c r="F15" s="93" t="str">
        <f t="shared" si="3"/>
        <v/>
      </c>
      <c r="G15" s="93" t="str">
        <f t="shared" si="4"/>
        <v/>
      </c>
      <c r="H15" s="93" t="str">
        <f t="shared" si="5"/>
        <v/>
      </c>
      <c r="I15" s="93" t="str">
        <f t="shared" si="6"/>
        <v/>
      </c>
      <c r="J15" s="93">
        <f t="shared" si="7"/>
        <v>45730</v>
      </c>
      <c r="L15" s="94" t="str" cm="1">
        <f t="array" ref="L15">IFERROR(INDEX(D:D, SMALL(IF(D:D&lt;&gt;"", ROW(D:D), ""), ROWS($L$1:L15))), "")</f>
        <v/>
      </c>
    </row>
    <row r="16" spans="1:18" x14ac:dyDescent="0.25">
      <c r="A16" s="91">
        <f t="shared" si="8"/>
        <v>45731</v>
      </c>
      <c r="B16">
        <f t="shared" si="0"/>
        <v>7</v>
      </c>
      <c r="D16" s="93">
        <f t="shared" si="1"/>
        <v>45731</v>
      </c>
      <c r="E16" s="93" t="str">
        <f t="shared" si="2"/>
        <v/>
      </c>
      <c r="F16" s="93" t="str">
        <f t="shared" si="3"/>
        <v/>
      </c>
      <c r="G16" s="93" t="str">
        <f t="shared" si="4"/>
        <v/>
      </c>
      <c r="H16" s="93" t="str">
        <f t="shared" si="5"/>
        <v/>
      </c>
      <c r="I16" s="93" t="str">
        <f t="shared" si="6"/>
        <v/>
      </c>
      <c r="J16" s="93" t="str">
        <f t="shared" si="7"/>
        <v/>
      </c>
      <c r="L16" s="94" t="str" cm="1">
        <f t="array" ref="L16">IFERROR(INDEX(D:D, SMALL(IF(D:D&lt;&gt;"", ROW(D:D), ""), ROWS($L$1:L16))), "")</f>
        <v/>
      </c>
    </row>
    <row r="17" spans="1:12" x14ac:dyDescent="0.25">
      <c r="A17" s="91">
        <f t="shared" si="8"/>
        <v>45732</v>
      </c>
      <c r="B17">
        <f t="shared" si="0"/>
        <v>1</v>
      </c>
      <c r="D17" s="93" t="str">
        <f t="shared" si="1"/>
        <v/>
      </c>
      <c r="E17" s="93">
        <f t="shared" si="2"/>
        <v>45732</v>
      </c>
      <c r="F17" s="93" t="str">
        <f t="shared" si="3"/>
        <v/>
      </c>
      <c r="G17" s="93" t="str">
        <f t="shared" si="4"/>
        <v/>
      </c>
      <c r="H17" s="93" t="str">
        <f t="shared" si="5"/>
        <v/>
      </c>
      <c r="I17" s="93" t="str">
        <f t="shared" si="6"/>
        <v/>
      </c>
      <c r="J17" s="93" t="str">
        <f t="shared" si="7"/>
        <v/>
      </c>
      <c r="L17" s="94" t="str" cm="1">
        <f t="array" ref="L17">IFERROR(INDEX(D:D, SMALL(IF(D:D&lt;&gt;"", ROW(D:D), ""), ROWS($L$1:L17))), "")</f>
        <v/>
      </c>
    </row>
    <row r="18" spans="1:12" x14ac:dyDescent="0.25">
      <c r="A18" s="91">
        <f t="shared" si="8"/>
        <v>45733</v>
      </c>
      <c r="B18">
        <f t="shared" si="0"/>
        <v>2</v>
      </c>
      <c r="D18" s="93" t="str">
        <f t="shared" si="1"/>
        <v/>
      </c>
      <c r="E18" s="93" t="str">
        <f t="shared" si="2"/>
        <v/>
      </c>
      <c r="F18" s="93">
        <f t="shared" si="3"/>
        <v>45733</v>
      </c>
      <c r="G18" s="93" t="str">
        <f t="shared" si="4"/>
        <v/>
      </c>
      <c r="H18" s="93" t="str">
        <f t="shared" si="5"/>
        <v/>
      </c>
      <c r="I18" s="93" t="str">
        <f t="shared" si="6"/>
        <v/>
      </c>
      <c r="J18" s="93" t="str">
        <f t="shared" si="7"/>
        <v/>
      </c>
      <c r="L18" s="94" t="str" cm="1">
        <f t="array" ref="L18">IFERROR(INDEX(D:D, SMALL(IF(D:D&lt;&gt;"", ROW(D:D), ""), ROWS($L$1:L18))), "")</f>
        <v/>
      </c>
    </row>
    <row r="19" spans="1:12" x14ac:dyDescent="0.25">
      <c r="A19" s="91">
        <f t="shared" si="8"/>
        <v>45734</v>
      </c>
      <c r="B19">
        <f t="shared" si="0"/>
        <v>3</v>
      </c>
      <c r="D19" s="93" t="str">
        <f t="shared" si="1"/>
        <v/>
      </c>
      <c r="E19" s="93" t="str">
        <f t="shared" si="2"/>
        <v/>
      </c>
      <c r="F19" s="93" t="str">
        <f t="shared" si="3"/>
        <v/>
      </c>
      <c r="G19" s="93">
        <f t="shared" si="4"/>
        <v>45734</v>
      </c>
      <c r="H19" s="93" t="str">
        <f t="shared" si="5"/>
        <v/>
      </c>
      <c r="I19" s="93" t="str">
        <f t="shared" si="6"/>
        <v/>
      </c>
      <c r="J19" s="93" t="str">
        <f t="shared" si="7"/>
        <v/>
      </c>
      <c r="L19" s="94" t="str" cm="1">
        <f t="array" ref="L19">IFERROR(INDEX(D:D, SMALL(IF(D:D&lt;&gt;"", ROW(D:D), ""), ROWS($L$1:L19))), "")</f>
        <v/>
      </c>
    </row>
    <row r="20" spans="1:12" x14ac:dyDescent="0.25">
      <c r="A20" s="91">
        <f t="shared" si="8"/>
        <v>45735</v>
      </c>
      <c r="B20">
        <f t="shared" si="0"/>
        <v>4</v>
      </c>
      <c r="D20" s="93" t="str">
        <f t="shared" si="1"/>
        <v/>
      </c>
      <c r="E20" s="93" t="str">
        <f t="shared" si="2"/>
        <v/>
      </c>
      <c r="F20" s="93" t="str">
        <f t="shared" si="3"/>
        <v/>
      </c>
      <c r="G20" s="93" t="str">
        <f t="shared" si="4"/>
        <v/>
      </c>
      <c r="H20" s="93">
        <f t="shared" si="5"/>
        <v>45735</v>
      </c>
      <c r="I20" s="93" t="str">
        <f t="shared" si="6"/>
        <v/>
      </c>
      <c r="J20" s="93" t="str">
        <f t="shared" si="7"/>
        <v/>
      </c>
      <c r="L20" s="94" t="str" cm="1">
        <f t="array" ref="L20">IFERROR(INDEX(D:D, SMALL(IF(D:D&lt;&gt;"", ROW(D:D), ""), ROWS($L$1:L20))), "")</f>
        <v/>
      </c>
    </row>
    <row r="21" spans="1:12" x14ac:dyDescent="0.25">
      <c r="A21" s="91">
        <f t="shared" si="8"/>
        <v>45736</v>
      </c>
      <c r="B21">
        <f t="shared" si="0"/>
        <v>5</v>
      </c>
      <c r="D21" s="93" t="str">
        <f t="shared" si="1"/>
        <v/>
      </c>
      <c r="E21" s="93" t="str">
        <f t="shared" si="2"/>
        <v/>
      </c>
      <c r="F21" s="93" t="str">
        <f t="shared" si="3"/>
        <v/>
      </c>
      <c r="G21" s="93" t="str">
        <f t="shared" si="4"/>
        <v/>
      </c>
      <c r="H21" s="93" t="str">
        <f t="shared" si="5"/>
        <v/>
      </c>
      <c r="I21" s="93">
        <f t="shared" si="6"/>
        <v>45736</v>
      </c>
      <c r="J21" s="93" t="str">
        <f t="shared" si="7"/>
        <v/>
      </c>
      <c r="L21" s="94" t="str" cm="1">
        <f t="array" ref="L21">IFERROR(INDEX(D:D, SMALL(IF(D:D&lt;&gt;"", ROW(D:D), ""), ROWS($L$1:L21))), "")</f>
        <v/>
      </c>
    </row>
    <row r="22" spans="1:12" x14ac:dyDescent="0.25">
      <c r="A22" s="91">
        <f t="shared" si="8"/>
        <v>45737</v>
      </c>
      <c r="B22">
        <f t="shared" si="0"/>
        <v>6</v>
      </c>
      <c r="D22" s="93" t="str">
        <f t="shared" si="1"/>
        <v/>
      </c>
      <c r="E22" s="93" t="str">
        <f t="shared" si="2"/>
        <v/>
      </c>
      <c r="F22" s="93" t="str">
        <f t="shared" si="3"/>
        <v/>
      </c>
      <c r="G22" s="93" t="str">
        <f t="shared" si="4"/>
        <v/>
      </c>
      <c r="H22" s="93" t="str">
        <f t="shared" si="5"/>
        <v/>
      </c>
      <c r="I22" s="93" t="str">
        <f t="shared" si="6"/>
        <v/>
      </c>
      <c r="J22" s="93">
        <f t="shared" si="7"/>
        <v>45737</v>
      </c>
      <c r="L22" s="94" t="str" cm="1">
        <f t="array" ref="L22">IFERROR(INDEX(D:D, SMALL(IF(D:D&lt;&gt;"", ROW(D:D), ""), ROWS($L$1:L22))), "")</f>
        <v/>
      </c>
    </row>
    <row r="23" spans="1:12" x14ac:dyDescent="0.25">
      <c r="A23" s="91">
        <f t="shared" si="8"/>
        <v>45738</v>
      </c>
      <c r="B23">
        <f t="shared" si="0"/>
        <v>7</v>
      </c>
      <c r="D23" s="93">
        <f t="shared" si="1"/>
        <v>45738</v>
      </c>
      <c r="E23" s="93" t="str">
        <f t="shared" si="2"/>
        <v/>
      </c>
      <c r="F23" s="93" t="str">
        <f t="shared" si="3"/>
        <v/>
      </c>
      <c r="G23" s="93" t="str">
        <f t="shared" si="4"/>
        <v/>
      </c>
      <c r="H23" s="93" t="str">
        <f t="shared" si="5"/>
        <v/>
      </c>
      <c r="I23" s="93" t="str">
        <f t="shared" si="6"/>
        <v/>
      </c>
      <c r="J23" s="93" t="str">
        <f t="shared" si="7"/>
        <v/>
      </c>
      <c r="L23" s="94" t="str" cm="1">
        <f t="array" ref="L23">IFERROR(INDEX(D:D, SMALL(IF(D:D&lt;&gt;"", ROW(D:D), ""), ROWS($L$1:L23))), "")</f>
        <v/>
      </c>
    </row>
    <row r="24" spans="1:12" x14ac:dyDescent="0.25">
      <c r="A24" s="91">
        <f t="shared" si="8"/>
        <v>45739</v>
      </c>
      <c r="B24">
        <f t="shared" si="0"/>
        <v>1</v>
      </c>
      <c r="D24" s="93" t="str">
        <f t="shared" si="1"/>
        <v/>
      </c>
      <c r="E24" s="93">
        <f t="shared" si="2"/>
        <v>45739</v>
      </c>
      <c r="F24" s="93" t="str">
        <f t="shared" si="3"/>
        <v/>
      </c>
      <c r="G24" s="93" t="str">
        <f t="shared" si="4"/>
        <v/>
      </c>
      <c r="H24" s="93" t="str">
        <f t="shared" si="5"/>
        <v/>
      </c>
      <c r="I24" s="93" t="str">
        <f t="shared" si="6"/>
        <v/>
      </c>
      <c r="J24" s="93" t="str">
        <f t="shared" si="7"/>
        <v/>
      </c>
    </row>
    <row r="25" spans="1:12" x14ac:dyDescent="0.25">
      <c r="A25" s="91">
        <f t="shared" si="8"/>
        <v>45740</v>
      </c>
      <c r="B25">
        <f t="shared" si="0"/>
        <v>2</v>
      </c>
      <c r="D25" s="93" t="str">
        <f t="shared" si="1"/>
        <v/>
      </c>
      <c r="E25" s="93" t="str">
        <f t="shared" si="2"/>
        <v/>
      </c>
      <c r="F25" s="93">
        <f t="shared" si="3"/>
        <v>45740</v>
      </c>
      <c r="G25" s="93" t="str">
        <f t="shared" si="4"/>
        <v/>
      </c>
      <c r="H25" s="93" t="str">
        <f t="shared" si="5"/>
        <v/>
      </c>
      <c r="I25" s="93" t="str">
        <f t="shared" si="6"/>
        <v/>
      </c>
      <c r="J25" s="93" t="str">
        <f t="shared" si="7"/>
        <v/>
      </c>
    </row>
    <row r="26" spans="1:12" x14ac:dyDescent="0.25">
      <c r="A26" s="91">
        <f t="shared" si="8"/>
        <v>45741</v>
      </c>
      <c r="B26">
        <f t="shared" si="0"/>
        <v>3</v>
      </c>
      <c r="D26" s="93" t="str">
        <f t="shared" si="1"/>
        <v/>
      </c>
      <c r="E26" s="93" t="str">
        <f t="shared" si="2"/>
        <v/>
      </c>
      <c r="F26" s="93" t="str">
        <f t="shared" si="3"/>
        <v/>
      </c>
      <c r="G26" s="93">
        <f t="shared" si="4"/>
        <v>45741</v>
      </c>
      <c r="H26" s="93" t="str">
        <f t="shared" si="5"/>
        <v/>
      </c>
      <c r="I26" s="93" t="str">
        <f t="shared" si="6"/>
        <v/>
      </c>
      <c r="J26" s="93" t="str">
        <f t="shared" si="7"/>
        <v/>
      </c>
    </row>
    <row r="27" spans="1:12" x14ac:dyDescent="0.25">
      <c r="A27" s="91">
        <f t="shared" si="8"/>
        <v>45742</v>
      </c>
      <c r="B27">
        <f t="shared" si="0"/>
        <v>4</v>
      </c>
      <c r="D27" s="93" t="str">
        <f t="shared" si="1"/>
        <v/>
      </c>
      <c r="E27" s="93" t="str">
        <f t="shared" si="2"/>
        <v/>
      </c>
      <c r="F27" s="93" t="str">
        <f t="shared" si="3"/>
        <v/>
      </c>
      <c r="G27" s="93" t="str">
        <f t="shared" si="4"/>
        <v/>
      </c>
      <c r="H27" s="93">
        <f t="shared" si="5"/>
        <v>45742</v>
      </c>
      <c r="I27" s="93" t="str">
        <f t="shared" si="6"/>
        <v/>
      </c>
      <c r="J27" s="93" t="str">
        <f t="shared" si="7"/>
        <v/>
      </c>
    </row>
    <row r="28" spans="1:12" x14ac:dyDescent="0.25">
      <c r="A28" s="91">
        <f>IF(MONTH(A27)&lt;&gt;MONTH(DATE(월총근무일과시간!$F$2, 월총근무일과시간!$G$2, 1)), "", A27+1)</f>
        <v>45743</v>
      </c>
      <c r="B28">
        <f t="shared" si="0"/>
        <v>5</v>
      </c>
      <c r="D28" s="93" t="str">
        <f t="shared" si="1"/>
        <v/>
      </c>
      <c r="E28" s="93" t="str">
        <f t="shared" si="2"/>
        <v/>
      </c>
      <c r="F28" s="93" t="str">
        <f t="shared" si="3"/>
        <v/>
      </c>
      <c r="G28" s="93" t="str">
        <f t="shared" si="4"/>
        <v/>
      </c>
      <c r="H28" s="93" t="str">
        <f t="shared" si="5"/>
        <v/>
      </c>
      <c r="I28" s="93">
        <f t="shared" si="6"/>
        <v>45743</v>
      </c>
      <c r="J28" s="93" t="str">
        <f t="shared" si="7"/>
        <v/>
      </c>
    </row>
    <row r="29" spans="1:12" x14ac:dyDescent="0.25">
      <c r="A29" s="91">
        <f>IF(MONTH(A28)&lt;&gt;MONTH(DATE(월총근무일과시간!$F$2, 월총근무일과시간!$G$2, 1)), "", A28+1)</f>
        <v>45744</v>
      </c>
      <c r="B29">
        <f t="shared" si="0"/>
        <v>6</v>
      </c>
      <c r="D29" s="93" t="str">
        <f t="shared" si="1"/>
        <v/>
      </c>
      <c r="E29" s="93" t="str">
        <f t="shared" si="2"/>
        <v/>
      </c>
      <c r="F29" s="93" t="str">
        <f t="shared" si="3"/>
        <v/>
      </c>
      <c r="G29" s="93" t="str">
        <f t="shared" si="4"/>
        <v/>
      </c>
      <c r="H29" s="93" t="str">
        <f t="shared" si="5"/>
        <v/>
      </c>
      <c r="I29" s="93" t="str">
        <f t="shared" si="6"/>
        <v/>
      </c>
      <c r="J29" s="93">
        <f t="shared" si="7"/>
        <v>45744</v>
      </c>
    </row>
    <row r="30" spans="1:12" x14ac:dyDescent="0.25">
      <c r="A30" s="91">
        <f>IF(MONTH(A29)&lt;&gt;MONTH(DATE(월총근무일과시간!$F$2, 월총근무일과시간!$G$2, 1)), "", A29+1)</f>
        <v>45745</v>
      </c>
      <c r="B30">
        <f t="shared" si="0"/>
        <v>7</v>
      </c>
      <c r="D30" s="93">
        <f t="shared" si="1"/>
        <v>45745</v>
      </c>
      <c r="E30" s="93" t="str">
        <f t="shared" si="2"/>
        <v/>
      </c>
      <c r="F30" s="93" t="str">
        <f t="shared" si="3"/>
        <v/>
      </c>
      <c r="G30" s="93" t="str">
        <f t="shared" si="4"/>
        <v/>
      </c>
      <c r="H30" s="93" t="str">
        <f t="shared" si="5"/>
        <v/>
      </c>
      <c r="I30" s="93" t="str">
        <f t="shared" si="6"/>
        <v/>
      </c>
      <c r="J30" s="93" t="str">
        <f t="shared" si="7"/>
        <v/>
      </c>
    </row>
    <row r="31" spans="1:12" x14ac:dyDescent="0.25">
      <c r="A31" s="91">
        <f>IF(MONTH(A30)&lt;&gt;MONTH(DATE(월총근무일과시간!$F$2, 월총근무일과시간!$G$2, 1)), "", A30+1)</f>
        <v>45746</v>
      </c>
      <c r="B31">
        <f t="shared" si="0"/>
        <v>1</v>
      </c>
      <c r="D31" s="93" t="str">
        <f t="shared" si="1"/>
        <v/>
      </c>
      <c r="E31" s="93">
        <f t="shared" si="2"/>
        <v>45746</v>
      </c>
      <c r="F31" s="93" t="str">
        <f t="shared" si="3"/>
        <v/>
      </c>
      <c r="G31" s="93" t="str">
        <f t="shared" si="4"/>
        <v/>
      </c>
      <c r="H31" s="93" t="str">
        <f t="shared" si="5"/>
        <v/>
      </c>
      <c r="I31" s="93" t="str">
        <f t="shared" si="6"/>
        <v/>
      </c>
      <c r="J31" s="93" t="str">
        <f t="shared" si="7"/>
        <v/>
      </c>
    </row>
    <row r="32" spans="1:12" x14ac:dyDescent="0.25">
      <c r="A32" s="91">
        <f>IF(MONTH(A31)&lt;&gt;MONTH(DATE(월총근무일과시간!$F$2, 월총근무일과시간!$G$2, 1)), "", A31+1)</f>
        <v>45747</v>
      </c>
      <c r="B32">
        <f t="shared" si="0"/>
        <v>2</v>
      </c>
      <c r="D32" s="93" t="str">
        <f t="shared" si="1"/>
        <v/>
      </c>
      <c r="E32" s="93" t="str">
        <f t="shared" si="2"/>
        <v/>
      </c>
      <c r="F32" s="93">
        <f t="shared" si="3"/>
        <v>45747</v>
      </c>
      <c r="G32" s="93" t="str">
        <f t="shared" si="4"/>
        <v/>
      </c>
      <c r="H32" s="93" t="str">
        <f t="shared" si="5"/>
        <v/>
      </c>
      <c r="I32" s="93" t="str">
        <f t="shared" si="6"/>
        <v/>
      </c>
      <c r="J32" s="93" t="str">
        <f t="shared" si="7"/>
        <v/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60E2B-DCD7-45C4-B147-F3CEBB7F3F3E}">
  <sheetPr codeName="Sheet42"/>
  <dimension ref="A2:BQ111"/>
  <sheetViews>
    <sheetView topLeftCell="B80" zoomScaleNormal="100" workbookViewId="0">
      <selection activeCell="M85" sqref="M85"/>
    </sheetView>
  </sheetViews>
  <sheetFormatPr defaultColWidth="8.77734375" defaultRowHeight="13.2" x14ac:dyDescent="0.25"/>
  <cols>
    <col min="1" max="1" width="8.77734375" customWidth="1"/>
    <col min="2" max="3" width="11.77734375" customWidth="1"/>
    <col min="4" max="4" width="11" bestFit="1" customWidth="1"/>
    <col min="5" max="5" width="13.109375" customWidth="1"/>
    <col min="6" max="6" width="12.6640625" customWidth="1"/>
    <col min="7" max="7" width="12.109375" customWidth="1"/>
    <col min="8" max="8" width="12" customWidth="1"/>
    <col min="9" max="14" width="12.109375" customWidth="1"/>
    <col min="15" max="15" width="13.44140625" customWidth="1"/>
    <col min="16" max="19" width="12.109375" customWidth="1"/>
    <col min="20" max="20" width="10.44140625" customWidth="1"/>
    <col min="21" max="21" width="12.6640625" customWidth="1"/>
    <col min="22" max="23" width="10.77734375" customWidth="1"/>
    <col min="33" max="33" width="7.77734375" customWidth="1"/>
  </cols>
  <sheetData>
    <row r="2" spans="2:13" ht="13.8" thickBot="1" x14ac:dyDescent="0.3">
      <c r="B2" s="40"/>
      <c r="F2" s="14">
        <f>월총근무일과시간!$F$2</f>
        <v>2025</v>
      </c>
      <c r="H2" s="15">
        <f>월총근무일과시간!$G$2</f>
        <v>3</v>
      </c>
      <c r="J2" s="276" t="s">
        <v>82</v>
      </c>
      <c r="K2" s="277"/>
      <c r="L2" s="277"/>
    </row>
    <row r="3" spans="2:13" ht="15.6" thickTop="1" x14ac:dyDescent="0.25">
      <c r="C3" s="47"/>
      <c r="D3" s="48" t="str">
        <f>이름기초!$B$11</f>
        <v>한영희</v>
      </c>
      <c r="E3" s="48" t="str">
        <f>이름기초!$B$12</f>
        <v>장영대</v>
      </c>
      <c r="F3" s="48" t="str">
        <f>이름기초!$B$13</f>
        <v>위선옥</v>
      </c>
      <c r="G3" s="48" t="str">
        <f>이름기초!$B$14</f>
        <v>오광웅</v>
      </c>
      <c r="H3" s="48" t="str">
        <f>이름기초!$B$15</f>
        <v>안성용</v>
      </c>
      <c r="I3" s="48" t="str">
        <f>이름기초!$B$16</f>
        <v>신대진</v>
      </c>
      <c r="J3" s="48" t="str">
        <f>이름기초!$B$17</f>
        <v>김대화</v>
      </c>
      <c r="K3" s="217" t="str">
        <f>이름기초!$B$18</f>
        <v>김제원</v>
      </c>
      <c r="L3" s="88" t="str">
        <f>이름기초!$B$19</f>
        <v>공란</v>
      </c>
      <c r="M3" s="219" t="s">
        <v>116</v>
      </c>
    </row>
    <row r="4" spans="2:13" x14ac:dyDescent="0.25">
      <c r="C4" s="49">
        <v>1</v>
      </c>
      <c r="D4" s="184"/>
      <c r="E4" s="184">
        <v>45721</v>
      </c>
      <c r="F4" s="184">
        <v>45720</v>
      </c>
      <c r="G4" s="185">
        <v>45717</v>
      </c>
      <c r="H4" s="184">
        <v>45723</v>
      </c>
      <c r="I4" s="184"/>
      <c r="J4" s="185">
        <v>45718</v>
      </c>
      <c r="K4" s="184">
        <v>45722</v>
      </c>
      <c r="L4" s="186"/>
    </row>
    <row r="5" spans="2:13" ht="13.2" customHeight="1" x14ac:dyDescent="0.25">
      <c r="C5" s="49">
        <v>2</v>
      </c>
      <c r="D5" s="184"/>
      <c r="E5" s="184">
        <v>45728</v>
      </c>
      <c r="F5" s="184">
        <v>45727</v>
      </c>
      <c r="G5" s="184">
        <v>45745</v>
      </c>
      <c r="H5" s="185"/>
      <c r="I5" s="184"/>
      <c r="J5" s="184">
        <v>45725</v>
      </c>
      <c r="K5" s="184">
        <v>45732</v>
      </c>
      <c r="L5" s="187"/>
    </row>
    <row r="6" spans="2:13" x14ac:dyDescent="0.25">
      <c r="C6" s="49">
        <v>3</v>
      </c>
      <c r="D6" s="184"/>
      <c r="E6" s="184">
        <v>45735</v>
      </c>
      <c r="F6" s="184">
        <v>45734</v>
      </c>
      <c r="G6" s="184">
        <v>45734</v>
      </c>
      <c r="H6" s="185"/>
      <c r="I6" s="184"/>
      <c r="J6" s="185"/>
      <c r="K6" s="184">
        <v>45736</v>
      </c>
      <c r="L6" s="187"/>
    </row>
    <row r="7" spans="2:13" x14ac:dyDescent="0.25">
      <c r="C7" s="49">
        <v>4</v>
      </c>
      <c r="D7" s="184"/>
      <c r="E7" s="184"/>
      <c r="F7" s="184"/>
      <c r="G7" s="184">
        <v>45735</v>
      </c>
      <c r="H7" s="184"/>
      <c r="I7" s="184"/>
      <c r="J7" s="184"/>
      <c r="K7" s="184"/>
      <c r="L7" s="187"/>
    </row>
    <row r="8" spans="2:13" x14ac:dyDescent="0.25">
      <c r="C8" s="49">
        <v>5</v>
      </c>
      <c r="D8" s="184"/>
      <c r="E8" s="184"/>
      <c r="F8" s="184"/>
      <c r="G8" s="184"/>
      <c r="H8" s="184"/>
      <c r="I8" s="184"/>
      <c r="J8" s="184"/>
      <c r="K8" s="184"/>
      <c r="L8" s="187"/>
    </row>
    <row r="9" spans="2:13" x14ac:dyDescent="0.25">
      <c r="C9" s="49">
        <v>6</v>
      </c>
      <c r="D9" s="184"/>
      <c r="E9" s="184"/>
      <c r="F9" s="184"/>
      <c r="G9" s="184"/>
      <c r="H9" s="184"/>
      <c r="I9" s="184"/>
      <c r="J9" s="184"/>
      <c r="K9" s="184"/>
      <c r="L9" s="187"/>
    </row>
    <row r="10" spans="2:13" x14ac:dyDescent="0.25">
      <c r="C10" s="49">
        <v>7</v>
      </c>
      <c r="D10" s="184"/>
      <c r="E10" s="184"/>
      <c r="F10" s="184"/>
      <c r="G10" s="184"/>
      <c r="H10" s="184"/>
      <c r="I10" s="184"/>
      <c r="J10" s="184"/>
      <c r="K10" s="184"/>
      <c r="L10" s="187"/>
    </row>
    <row r="11" spans="2:13" x14ac:dyDescent="0.25">
      <c r="C11" s="49">
        <v>8</v>
      </c>
      <c r="D11" s="184"/>
      <c r="E11" s="184"/>
      <c r="F11" s="184"/>
      <c r="G11" s="184"/>
      <c r="H11" s="184"/>
      <c r="I11" s="184"/>
      <c r="J11" s="184"/>
      <c r="K11" s="184"/>
      <c r="L11" s="187"/>
    </row>
    <row r="12" spans="2:13" x14ac:dyDescent="0.25">
      <c r="C12" s="49">
        <v>9</v>
      </c>
      <c r="D12" s="184"/>
      <c r="E12" s="184"/>
      <c r="F12" s="184"/>
      <c r="G12" s="184"/>
      <c r="H12" s="184"/>
      <c r="I12" s="184"/>
      <c r="J12" s="184"/>
      <c r="K12" s="184"/>
      <c r="L12" s="187"/>
    </row>
    <row r="13" spans="2:13" x14ac:dyDescent="0.25">
      <c r="C13" s="49">
        <v>10</v>
      </c>
      <c r="D13" s="185"/>
      <c r="E13" s="184"/>
      <c r="F13" s="184"/>
      <c r="G13" s="184"/>
      <c r="H13" s="184"/>
      <c r="I13" s="184"/>
      <c r="J13" s="184"/>
      <c r="K13" s="184"/>
      <c r="L13" s="187"/>
    </row>
    <row r="14" spans="2:13" x14ac:dyDescent="0.25">
      <c r="C14" s="49">
        <v>11</v>
      </c>
      <c r="D14" s="184"/>
      <c r="E14" s="184"/>
      <c r="F14" s="184"/>
      <c r="G14" s="184"/>
      <c r="H14" s="184"/>
      <c r="I14" s="184"/>
      <c r="J14" s="184"/>
      <c r="K14" s="184"/>
      <c r="L14" s="187"/>
    </row>
    <row r="15" spans="2:13" x14ac:dyDescent="0.25">
      <c r="C15" s="49">
        <v>12</v>
      </c>
      <c r="D15" s="184"/>
      <c r="E15" s="184"/>
      <c r="F15" s="184"/>
      <c r="G15" s="184"/>
      <c r="H15" s="184"/>
      <c r="I15" s="184"/>
      <c r="J15" s="184"/>
      <c r="K15" s="184"/>
      <c r="L15" s="187"/>
    </row>
    <row r="16" spans="2:13" ht="13.8" thickBot="1" x14ac:dyDescent="0.3">
      <c r="C16" s="50">
        <v>13</v>
      </c>
      <c r="D16" s="188"/>
      <c r="E16" s="188"/>
      <c r="F16" s="188"/>
      <c r="G16" s="189"/>
      <c r="H16" s="188"/>
      <c r="I16" s="188"/>
      <c r="J16" s="188"/>
      <c r="K16" s="188"/>
      <c r="L16" s="190"/>
    </row>
    <row r="17" spans="3:15" ht="16.2" customHeight="1" thickTop="1" x14ac:dyDescent="0.25">
      <c r="C17" s="101"/>
      <c r="D17" s="102" t="str">
        <f>이름기초!$B$11</f>
        <v>한영희</v>
      </c>
      <c r="E17" s="102" t="str">
        <f>이름기초!$B$12</f>
        <v>장영대</v>
      </c>
      <c r="F17" s="102" t="str">
        <f>이름기초!$B$13</f>
        <v>위선옥</v>
      </c>
      <c r="G17" s="102" t="str">
        <f>이름기초!$B$14</f>
        <v>오광웅</v>
      </c>
      <c r="H17" s="102" t="str">
        <f>이름기초!$B$15</f>
        <v>안성용</v>
      </c>
      <c r="I17" s="102" t="str">
        <f>이름기초!$B$16</f>
        <v>신대진</v>
      </c>
      <c r="J17" s="102" t="str">
        <f>이름기초!$B$17</f>
        <v>김대화</v>
      </c>
      <c r="K17" s="102" t="str">
        <f>이름기초!$B$18</f>
        <v>김제원</v>
      </c>
      <c r="L17" s="103" t="str">
        <f>이름기초!$B$19</f>
        <v>공란</v>
      </c>
    </row>
    <row r="18" spans="3:15" ht="16.2" customHeight="1" x14ac:dyDescent="0.25">
      <c r="C18" s="104">
        <v>1</v>
      </c>
      <c r="D18" s="157" t="str">
        <f>IF(OR($L$17=조편성!$C$30, $L$17=조편성!$D$30, 휴무요일과특정일휴무!$H$78&gt;=휴무요일과특정일휴무!$G$78), "", $K$26)</f>
        <v/>
      </c>
      <c r="E18" s="157" t="str">
        <f>IF(OR($L$17=조편성!$C$30, $L$17=조편성!$D$30, 휴무요일과특정일휴무!$H$79&gt;=휴무요일과특정일휴무!$G$79), "", $K$27)</f>
        <v/>
      </c>
      <c r="F18" s="157" t="str">
        <f>IF(OR($L$17=조편성!$C$30, $L$17=조편성!$D$30, 휴무요일과특정일휴무!$H$80&gt;=휴무요일과특정일휴무!$G$80), "", $K$28)</f>
        <v/>
      </c>
      <c r="G18" s="157" t="str">
        <f>IF(OR($L$17=조편성!$C$30, $L$17=조편성!$D$30, 휴무요일과특정일휴무!$H$81&gt;=휴무요일과특정일휴무!$G$81), "", $K$29)</f>
        <v/>
      </c>
      <c r="H18" s="157" t="str">
        <f>IF(OR($L$17=조편성!$C$30, $L$17=조편성!$D$30, 휴무요일과특정일휴무!$H$82&gt;=휴무요일과특정일휴무!$G$82), "", $K$30)</f>
        <v/>
      </c>
      <c r="I18" s="157" t="str">
        <f>IF(OR($L$17=조편성!$C$30, $L$17=조편성!$D$30, 휴무요일과특정일휴무!$H$83&gt;=휴무요일과특정일휴무!$G$83), "", $K$31)</f>
        <v/>
      </c>
      <c r="J18" s="157" t="str">
        <f>IF(OR($L$17=조편성!$C$30, $L$17=조편성!$D$30, 휴무요일과특정일휴무!$H$84&gt;=휴무요일과특정일휴무!$G$84), "", $K$32)</f>
        <v/>
      </c>
      <c r="K18" s="157" t="str">
        <f>IF(OR($L$17=조편성!$C$30, $L$17=조편성!$D$30, 휴무요일과특정일휴무!$H$85&gt;=휴무요일과특정일휴무!$G$85), "", $K$33)</f>
        <v/>
      </c>
      <c r="L18" s="105" t="str">
        <f>IF(OR($L$17=조편성!$C$30, $L$17=조편성!$D$30, 휴무요일과특정일휴무!$H$86&gt;=휴무요일과특정일휴무!$G$86), "",$K$34)</f>
        <v/>
      </c>
    </row>
    <row r="19" spans="3:15" ht="16.2" customHeight="1" x14ac:dyDescent="0.25">
      <c r="C19" s="104">
        <v>2</v>
      </c>
      <c r="D19" s="157" t="str">
        <f>IF(OR($L$17=조편성!$C$30, $L$17=조편성!$D$30, 휴무요일과특정일휴무!$H$78&gt;=휴무요일과특정일휴무!$G$78), "", $L$26)</f>
        <v/>
      </c>
      <c r="E19" s="157" t="str">
        <f>IF(OR($L$17=조편성!$C$30, $L$17=조편성!$D$30, 휴무요일과특정일휴무!$H$79&gt;=휴무요일과특정일휴무!$G$79), "", $L$27)</f>
        <v/>
      </c>
      <c r="F19" s="157" t="str">
        <f>IF(OR($L$17=조편성!$C$30, $L$17=조편성!$D$30, 휴무요일과특정일휴무!$H$80&gt;=휴무요일과특정일휴무!$G$80), "", $L$28)</f>
        <v/>
      </c>
      <c r="G19" s="157" t="str">
        <f>IF(OR($L$17=조편성!$C$30, $L$17=조편성!$D$30, 휴무요일과특정일휴무!$H$81&gt;=휴무요일과특정일휴무!$G$81), "", $L$29)</f>
        <v/>
      </c>
      <c r="H19" s="157" t="str">
        <f>IF(OR($L$17=조편성!$C$30, $L$17=조편성!$D$30, 휴무요일과특정일휴무!$H$82&gt;=휴무요일과특정일휴무!$G$82), "", $L$30)</f>
        <v/>
      </c>
      <c r="I19" s="157" t="str">
        <f>IF(OR($L$17=조편성!$C$30, $L$17=조편성!$D$30, 휴무요일과특정일휴무!$H$83&gt;=휴무요일과특정일휴무!$G$83), "", $L$31)</f>
        <v/>
      </c>
      <c r="J19" s="157" t="str">
        <f>IF(OR($L$17=조편성!$C$30, $L$17=조편성!$D$30, 휴무요일과특정일휴무!$H$84&gt;=휴무요일과특정일휴무!$G$84), "", $L$32)</f>
        <v/>
      </c>
      <c r="K19" s="157" t="str">
        <f>IF(OR($L$17=조편성!$C$30, $L$17=조편성!$D$30, 휴무요일과특정일휴무!$H$85&gt;=휴무요일과특정일휴무!$G$85), "", $L$33)</f>
        <v/>
      </c>
      <c r="L19" s="105" t="str">
        <f>IF(OR($L$17=조편성!$C$30, $L$17=조편성!$D$30, 휴무요일과특정일휴무!$H$86&gt;=휴무요일과특정일휴무!$G$86), "",$L$34)</f>
        <v/>
      </c>
    </row>
    <row r="20" spans="3:15" ht="16.2" customHeight="1" x14ac:dyDescent="0.25">
      <c r="C20" s="104">
        <v>3</v>
      </c>
      <c r="D20" s="157" t="str">
        <f>IF(OR($L$17=조편성!$C$30, $L$17=조편성!$D$30, 휴무요일과특정일휴무!$H$78&gt;=휴무요일과특정일휴무!$G$78), "", $M$26)</f>
        <v/>
      </c>
      <c r="E20" s="157" t="str">
        <f>IF(OR($L$17=조편성!$C$30, $L$17=조편성!$D$30, 휴무요일과특정일휴무!$H$79&gt;=휴무요일과특정일휴무!$G$79), "", $M$27)</f>
        <v/>
      </c>
      <c r="F20" s="157" t="str">
        <f>IF(OR($L$17=조편성!$C$30, $L$17=조편성!$D$30, 휴무요일과특정일휴무!$H$80&gt;=휴무요일과특정일휴무!$G$80), "", $M$28)</f>
        <v/>
      </c>
      <c r="G20" s="157" t="str">
        <f>IF(OR($L$17=조편성!$C$30, $L$17=조편성!$D$30, 휴무요일과특정일휴무!$H$81&gt;=휴무요일과특정일휴무!$G$81), "", $M$29)</f>
        <v/>
      </c>
      <c r="H20" s="157" t="str">
        <f>IF(OR($L$17=조편성!$C$30, $L$17=조편성!$D$30, 휴무요일과특정일휴무!$H$82&gt;=휴무요일과특정일휴무!$G$82), "", $M$30)</f>
        <v/>
      </c>
      <c r="I20" s="157" t="str">
        <f>IF(OR($L$17=조편성!$C$30, $L$17=조편성!$D$30, 휴무요일과특정일휴무!$H$83&gt;=휴무요일과특정일휴무!$G$83), "", $M$31)</f>
        <v/>
      </c>
      <c r="J20" s="157" t="str">
        <f>IF(OR($L$17=조편성!$C$30, $L$17=조편성!$D$30, 휴무요일과특정일휴무!$H$84&gt;=휴무요일과특정일휴무!$G$84), "", $M$32)</f>
        <v/>
      </c>
      <c r="K20" s="157" t="str">
        <f>IF(OR($L$17=조편성!$C$30, $L$17=조편성!$D$30, 휴무요일과특정일휴무!$H$85&gt;=휴무요일과특정일휴무!$G$85), "", $M$33)</f>
        <v/>
      </c>
      <c r="L20" s="105" t="str">
        <f>IF(OR($L$17=조편성!$C$30, $L$17=조편성!$D$30, 휴무요일과특정일휴무!$H$86&gt;=휴무요일과특정일휴무!$G$86), "",$M$34)</f>
        <v/>
      </c>
    </row>
    <row r="21" spans="3:15" ht="16.2" customHeight="1" x14ac:dyDescent="0.25">
      <c r="C21" s="104">
        <v>4</v>
      </c>
      <c r="D21" s="157" t="str">
        <f>IF(OR($L$17=조편성!$C$30, $L$17=조편성!$D$30, 휴무요일과특정일휴무!$H$78&gt;=휴무요일과특정일휴무!$G$78), "", $N$26)</f>
        <v/>
      </c>
      <c r="E21" s="157" t="str">
        <f>IF(OR($L$17=조편성!$C$30, $L$17=조편성!$D$30, 휴무요일과특정일휴무!$H$79&gt;=휴무요일과특정일휴무!$G$79), "", $N$27)</f>
        <v/>
      </c>
      <c r="F21" s="157" t="str">
        <f>IF(OR($L$17=조편성!$C$30, $L$17=조편성!$D$30, 휴무요일과특정일휴무!$H$80&gt;=휴무요일과특정일휴무!$G$80), "", $N$28)</f>
        <v/>
      </c>
      <c r="G21" s="157" t="str">
        <f>IF(OR($L$17=조편성!$C$30, $L$17=조편성!$D$30, 휴무요일과특정일휴무!$H$81&gt;=휴무요일과특정일휴무!$G$81), "", $N$29)</f>
        <v/>
      </c>
      <c r="H21" s="157" t="str">
        <f>IF(OR($L$17=조편성!$C$30, $L$17=조편성!$D$30, 휴무요일과특정일휴무!$H$82&gt;=휴무요일과특정일휴무!$G$82), "", $N$30)</f>
        <v/>
      </c>
      <c r="I21" s="157" t="str">
        <f>IF(OR($L$17=조편성!$C$30, $L$17=조편성!$D$30, 휴무요일과특정일휴무!$H$83&gt;=휴무요일과특정일휴무!$G$83), "", $N$31)</f>
        <v/>
      </c>
      <c r="J21" s="157" t="str">
        <f>IF(OR($L$17=조편성!$C$30, $L$17=조편성!$D$30, 휴무요일과특정일휴무!$H$84&gt;=휴무요일과특정일휴무!$G$84), "", $N$32)</f>
        <v/>
      </c>
      <c r="K21" s="157" t="str">
        <f>IF(OR($L$17=조편성!$C$30, $L$17=조편성!$D$30, 휴무요일과특정일휴무!$H$85&gt;=휴무요일과특정일휴무!$G$85), "", $N$33)</f>
        <v/>
      </c>
      <c r="L21" s="105" t="str">
        <f>IF(OR($L$17=조편성!$C$30, $L$17=조편성!$D$30, 휴무요일과특정일휴무!$H$86&gt;=휴무요일과특정일휴무!$G$86), "",$N$34)</f>
        <v/>
      </c>
    </row>
    <row r="22" spans="3:15" ht="13.2" customHeight="1" thickBot="1" x14ac:dyDescent="0.3">
      <c r="C22" s="106">
        <v>5</v>
      </c>
      <c r="D22" s="108" t="str">
        <f>IF(OR($L$17=조편성!$C$30, $L$17=조편성!$D$30, 휴무요일과특정일휴무!$H$78&gt;=휴무요일과특정일휴무!$G$78), "", $O$26)</f>
        <v/>
      </c>
      <c r="E22" s="108" t="str">
        <f>IF(OR($L$17=조편성!$C$30, $L$17=조편성!$D$30, 휴무요일과특정일휴무!$H$79&gt;=휴무요일과특정일휴무!$G$79), "", $O$27)</f>
        <v/>
      </c>
      <c r="F22" s="108" t="str">
        <f>IF(OR($L$17=조편성!$C$30, $L$17=조편성!$D$30, 휴무요일과특정일휴무!$H$80&gt;=휴무요일과특정일휴무!$G$80), "", $O$28)</f>
        <v/>
      </c>
      <c r="G22" s="108" t="str">
        <f>IF(OR($L$17=조편성!$C$30, $L$17=조편성!$D$30, 휴무요일과특정일휴무!$H$81&gt;=휴무요일과특정일휴무!$G$81), "", $O$29)</f>
        <v/>
      </c>
      <c r="H22" s="108" t="str">
        <f>IF(OR($L$17=조편성!$C$30, $L$17=조편성!$D$30, 휴무요일과특정일휴무!$H$82&gt;=휴무요일과특정일휴무!$G$82), "", $O$30)</f>
        <v/>
      </c>
      <c r="I22" s="108" t="str">
        <f>IF(OR($L$17=조편성!$C$30, $L$17=조편성!$D$30, 휴무요일과특정일휴무!$H$83&gt;=휴무요일과특정일휴무!$G$83), "", $O$31)</f>
        <v/>
      </c>
      <c r="J22" s="108" t="str">
        <f>IF(OR($L$17=조편성!$C$30, $L$17=조편성!$D$30, 휴무요일과특정일휴무!$H$84&gt;=휴무요일과특정일휴무!$G$84), "", $O$32)</f>
        <v/>
      </c>
      <c r="K22" s="108" t="str">
        <f>IF(OR($L$17=조편성!$C$30, $L$17=조편성!$D$30, 휴무요일과특정일휴무!$H$85&gt;=휴무요일과특정일휴무!$G$85), "", $OK$33)</f>
        <v/>
      </c>
      <c r="L22" s="107" t="str">
        <f>IF(OR($L$17=조편성!$C$30, $L$17=조편성!$D$30, 휴무요일과특정일휴무!$H$86&gt;=휴무요일과특정일휴무!$G$86), "",$O$34)</f>
        <v/>
      </c>
    </row>
    <row r="23" spans="3:15" ht="13.8" thickTop="1" x14ac:dyDescent="0.25"/>
    <row r="24" spans="3:15" ht="13.8" thickBot="1" x14ac:dyDescent="0.3"/>
    <row r="25" spans="3:15" ht="16.8" thickTop="1" thickBot="1" x14ac:dyDescent="0.3">
      <c r="C25" s="76"/>
      <c r="D25" s="77" t="s">
        <v>74</v>
      </c>
      <c r="E25" s="278" t="s">
        <v>51</v>
      </c>
      <c r="F25" s="279"/>
      <c r="G25" s="279"/>
      <c r="H25" s="280"/>
      <c r="I25" s="281" t="s">
        <v>73</v>
      </c>
      <c r="J25" s="282"/>
      <c r="K25" s="285" t="s">
        <v>89</v>
      </c>
      <c r="L25" s="286"/>
      <c r="M25" s="286"/>
      <c r="N25" s="286"/>
      <c r="O25" s="287"/>
    </row>
    <row r="26" spans="3:15" ht="14.4" thickTop="1" thickBot="1" x14ac:dyDescent="0.3">
      <c r="C26" s="78">
        <v>1</v>
      </c>
      <c r="D26" s="155" t="str">
        <f>이름기초!$B$11</f>
        <v>한영희</v>
      </c>
      <c r="E26" s="191"/>
      <c r="F26" s="191"/>
      <c r="G26" s="191"/>
      <c r="H26" s="192"/>
      <c r="I26" s="89"/>
      <c r="J26" s="96" t="str">
        <f t="shared" ref="J26:J34" si="0">I101</f>
        <v/>
      </c>
      <c r="K26" s="97" t="str">
        <f>IFERROR(INDEX(휴무일추천!$L$2:$R$2, MATCH($C66, 휴무일추천!$L$1:$R$1, 0)), "")</f>
        <v/>
      </c>
      <c r="L26" s="37" t="str">
        <f>IFERROR(INDEX(휴무일추천!$L$3:$R$3, MATCH($C66, 휴무일추천!$L$1:$R$1, 0)), "")</f>
        <v/>
      </c>
      <c r="M26" s="37" t="str">
        <f>IFERROR(INDEX(휴무일추천!$L$4:$R$4, MATCH($C66, 휴무일추천!$L$1:$R$1, 0)), "")</f>
        <v/>
      </c>
      <c r="N26" s="37" t="str">
        <f>IFERROR(INDEX(휴무일추천!$L$5:$R$5, MATCH($C66, 휴무일추천!$L$1:$R$1, 0)), "")</f>
        <v/>
      </c>
      <c r="O26" s="98" t="str">
        <f>IFERROR(INDEX(휴무일추천!$L$6:$R$6, MATCH($C66, 휴무일추천!$L$1:$R$1, 0)), "")</f>
        <v/>
      </c>
    </row>
    <row r="27" spans="3:15" ht="14.4" thickTop="1" thickBot="1" x14ac:dyDescent="0.3">
      <c r="C27" s="78">
        <v>2</v>
      </c>
      <c r="D27" s="155" t="str">
        <f>이름기초!$B$12</f>
        <v>장영대</v>
      </c>
      <c r="E27" s="191"/>
      <c r="F27" s="191"/>
      <c r="G27" s="191"/>
      <c r="H27" s="193"/>
      <c r="I27" s="89" t="str">
        <f t="shared" ref="I27:I33" si="1">G102</f>
        <v>목요일</v>
      </c>
      <c r="J27" s="96" t="str">
        <f t="shared" si="0"/>
        <v>금요일</v>
      </c>
      <c r="K27" s="97">
        <f>IFERROR(INDEX(휴무일추천!$L$2:$R$2, MATCH($C67, 휴무일추천!$L$1:$R$1, 0)), "")</f>
        <v>45721</v>
      </c>
      <c r="L27" s="37">
        <f>IFERROR(INDEX(휴무일추천!$L$3:$R$3, MATCH($C67, 휴무일추천!$L$1:$R$1, 0)), "")</f>
        <v>45728</v>
      </c>
      <c r="M27" s="37">
        <f>IFERROR(INDEX(휴무일추천!$L$4:$R$4, MATCH($C67, 휴무일추천!$L$1:$R$1, 0)), "")</f>
        <v>45735</v>
      </c>
      <c r="N27" s="37">
        <f>IFERROR(INDEX(휴무일추천!$L$5:$R$5, MATCH($C67, 휴무일추천!$L$1:$R$1, 0)), "")</f>
        <v>45742</v>
      </c>
      <c r="O27" s="98" t="str">
        <f>IFERROR(INDEX(휴무일추천!$L$6:$R$6, MATCH($C67, 휴무일추천!$L$1:$R$1, 0)), "")</f>
        <v/>
      </c>
    </row>
    <row r="28" spans="3:15" ht="14.4" thickTop="1" thickBot="1" x14ac:dyDescent="0.3">
      <c r="C28" s="78">
        <v>3</v>
      </c>
      <c r="D28" s="155" t="str">
        <f>이름기초!$B$13</f>
        <v>위선옥</v>
      </c>
      <c r="E28" s="194"/>
      <c r="F28" s="191"/>
      <c r="G28" s="191"/>
      <c r="H28" s="193"/>
      <c r="I28" s="89" t="str">
        <f t="shared" si="1"/>
        <v>수요일</v>
      </c>
      <c r="J28" s="96" t="str">
        <f t="shared" si="0"/>
        <v>목요일</v>
      </c>
      <c r="K28" s="97">
        <f>IFERROR(INDEX(휴무일추천!$L$2:$R$2, MATCH($C68, 휴무일추천!$L$1:$R$1, 0)), "")</f>
        <v>45720</v>
      </c>
      <c r="L28" s="37">
        <f>IFERROR(INDEX(휴무일추천!$L$3:$R$3, MATCH($C68, 휴무일추천!$L$1:$R$1, 0)), "")</f>
        <v>45727</v>
      </c>
      <c r="M28" s="37">
        <f>IFERROR(INDEX(휴무일추천!$L$4:$R$4, MATCH($C68, 휴무일추천!$L$1:$R$1, 0)), "")</f>
        <v>45734</v>
      </c>
      <c r="N28" s="37">
        <f>IFERROR(INDEX(휴무일추천!$L$5:$R$5, MATCH($C68, 휴무일추천!$L$1:$R$1, 0)), "")</f>
        <v>45741</v>
      </c>
      <c r="O28" s="98" t="str">
        <f>IFERROR(INDEX(휴무일추천!$L$6:$R$6, MATCH($C68, 휴무일추천!$L$1:$R$1, 0)), "")</f>
        <v/>
      </c>
    </row>
    <row r="29" spans="3:15" ht="14.4" thickTop="1" thickBot="1" x14ac:dyDescent="0.3">
      <c r="C29" s="78">
        <v>4</v>
      </c>
      <c r="D29" s="155" t="str">
        <f>이름기초!$B$14</f>
        <v>오광웅</v>
      </c>
      <c r="E29" s="191">
        <v>45733</v>
      </c>
      <c r="F29" s="191"/>
      <c r="G29" s="191"/>
      <c r="H29" s="193"/>
      <c r="I29" s="89" t="str">
        <f t="shared" si="1"/>
        <v>일요일</v>
      </c>
      <c r="J29" s="96" t="str">
        <f t="shared" si="0"/>
        <v>월요일</v>
      </c>
      <c r="K29" s="97">
        <f>IFERROR(INDEX(휴무일추천!$L$2:$R$2, MATCH($C69, 휴무일추천!$L$1:$R$1, 0)), "")</f>
        <v>45717</v>
      </c>
      <c r="L29" s="37">
        <f>IFERROR(INDEX(휴무일추천!$L$3:$R$3, MATCH($C69, 휴무일추천!$L$1:$R$1, 0)), "")</f>
        <v>45724</v>
      </c>
      <c r="M29" s="37">
        <f>IFERROR(INDEX(휴무일추천!$L$4:$R$4, MATCH($C69, 휴무일추천!$L$1:$R$1, 0)), "")</f>
        <v>45731</v>
      </c>
      <c r="N29" s="37">
        <f>IFERROR(INDEX(휴무일추천!$L$5:$R$5, MATCH($C69, 휴무일추천!$L$1:$R$1, 0)), "")</f>
        <v>45738</v>
      </c>
      <c r="O29" s="98">
        <f>IFERROR(INDEX(휴무일추천!$L$6:$R$6, MATCH($C69, 휴무일추천!$L$1:$R$1, 0)), "")</f>
        <v>45745</v>
      </c>
    </row>
    <row r="30" spans="3:15" ht="14.4" thickTop="1" thickBot="1" x14ac:dyDescent="0.3">
      <c r="C30" s="78">
        <v>5</v>
      </c>
      <c r="D30" s="155" t="str">
        <f>이름기초!$B$15</f>
        <v>안성용</v>
      </c>
      <c r="E30" s="191"/>
      <c r="F30" s="191"/>
      <c r="G30" s="191"/>
      <c r="H30" s="193"/>
      <c r="I30" s="89" t="str">
        <f t="shared" si="1"/>
        <v>토요일</v>
      </c>
      <c r="J30" s="96" t="str">
        <f t="shared" si="0"/>
        <v>일요일</v>
      </c>
      <c r="K30" s="97">
        <f>IFERROR(INDEX(휴무일추천!$L$2:$R$2, MATCH($C70, 휴무일추천!$L$1:$R$1, 0)), "")</f>
        <v>45723</v>
      </c>
      <c r="L30" s="37">
        <f>IFERROR(INDEX(휴무일추천!$L$3:$R$3, MATCH($C70, 휴무일추천!$L$1:$R$1, 0)), "")</f>
        <v>45730</v>
      </c>
      <c r="M30" s="37">
        <f>IFERROR(INDEX(휴무일추천!$L$4:$R$4, MATCH($C70, 휴무일추천!$L$1:$R$1, 0)), "")</f>
        <v>45737</v>
      </c>
      <c r="N30" s="37">
        <f>IFERROR(INDEX(휴무일추천!$L$5:$R$5, MATCH($C70, 휴무일추천!$L$1:$R$1, 0)), "")</f>
        <v>45744</v>
      </c>
      <c r="O30" s="98" t="str">
        <f>IFERROR(INDEX(휴무일추천!$L$6:$R$6, MATCH($C70, 휴무일추천!$L$1:$R$1, 0)), "")</f>
        <v/>
      </c>
    </row>
    <row r="31" spans="3:15" ht="14.4" thickTop="1" thickBot="1" x14ac:dyDescent="0.3">
      <c r="C31" s="78">
        <v>6</v>
      </c>
      <c r="D31" s="155" t="str">
        <f>이름기초!$B$16</f>
        <v>신대진</v>
      </c>
      <c r="E31" s="191"/>
      <c r="F31" s="191"/>
      <c r="G31" s="191"/>
      <c r="H31" s="193"/>
      <c r="I31" s="89" t="str">
        <f t="shared" si="1"/>
        <v/>
      </c>
      <c r="J31" s="96" t="str">
        <f t="shared" si="0"/>
        <v/>
      </c>
      <c r="K31" s="97" t="str">
        <f>IFERROR(INDEX(휴무일추천!$L$2:$R$2, MATCH($C71, 휴무일추천!$L$1:$R$1, 0)), "")</f>
        <v/>
      </c>
      <c r="L31" s="37" t="str">
        <f>IFERROR(INDEX(휴무일추천!$L$3:$R$3, MATCH($C71, 휴무일추천!$L$1:$R$1, 0)), "")</f>
        <v/>
      </c>
      <c r="M31" s="37" t="str">
        <f>IFERROR(INDEX(휴무일추천!$L$4:$R$4, MATCH($C71, 휴무일추천!$L$1:$R$1, 0)), "")</f>
        <v/>
      </c>
      <c r="N31" s="37" t="str">
        <f>IFERROR(INDEX(휴무일추천!$L$5:$R$5, MATCH($C71, 휴무일추천!$L$1:$R$1, 0)), "")</f>
        <v/>
      </c>
      <c r="O31" s="98" t="str">
        <f>IFERROR(INDEX(휴무일추천!$L$6:$R$6, MATCH($C71, 휴무일추천!$L$1:$R$1, 0)), "")</f>
        <v/>
      </c>
    </row>
    <row r="32" spans="3:15" ht="14.4" thickTop="1" thickBot="1" x14ac:dyDescent="0.3">
      <c r="C32" s="78">
        <v>7</v>
      </c>
      <c r="D32" s="155" t="str">
        <f>이름기초!$B$17</f>
        <v>김대화</v>
      </c>
      <c r="E32" s="191"/>
      <c r="F32" s="191"/>
      <c r="G32" s="191"/>
      <c r="H32" s="193"/>
      <c r="I32" s="89" t="str">
        <f t="shared" si="1"/>
        <v>월요일</v>
      </c>
      <c r="J32" s="96" t="str">
        <f t="shared" si="0"/>
        <v>화요일</v>
      </c>
      <c r="K32" s="97">
        <f>IFERROR(INDEX(휴무일추천!$L$2:$R$2, MATCH($C72, 휴무일추천!$L$1:$R$1, 0)), "")</f>
        <v>45718</v>
      </c>
      <c r="L32" s="37">
        <f>IFERROR(INDEX(휴무일추천!$L$3:$R$3, MATCH($C72, 휴무일추천!$L$1:$R$1, 0)), "")</f>
        <v>45725</v>
      </c>
      <c r="M32" s="37">
        <f>IFERROR(INDEX(휴무일추천!$L$4:$R$4, MATCH($C72, 휴무일추천!$L$1:$R$1, 0)), "")</f>
        <v>45732</v>
      </c>
      <c r="N32" s="37">
        <f>IFERROR(INDEX(휴무일추천!$L$5:$R$5, MATCH($C72, 휴무일추천!$L$1:$R$1, 0)), "")</f>
        <v>45739</v>
      </c>
      <c r="O32" s="98">
        <f>IFERROR(INDEX(휴무일추천!$L$6:$R$6, MATCH($C72, 휴무일추천!$L$1:$R$1, 0)), "")</f>
        <v>45746</v>
      </c>
    </row>
    <row r="33" spans="1:69" ht="14.4" thickTop="1" thickBot="1" x14ac:dyDescent="0.3">
      <c r="C33" s="78">
        <v>8</v>
      </c>
      <c r="D33" s="155" t="str">
        <f>이름기초!$B$18</f>
        <v>김제원</v>
      </c>
      <c r="E33" s="191"/>
      <c r="F33" s="191"/>
      <c r="G33" s="191"/>
      <c r="H33" s="193"/>
      <c r="I33" s="89" t="str">
        <f t="shared" si="1"/>
        <v>금요일</v>
      </c>
      <c r="J33" s="96" t="str">
        <f t="shared" si="0"/>
        <v>토요일</v>
      </c>
      <c r="K33" s="97">
        <f>IFERROR(INDEX(휴무일추천!$L$2:$R$2, MATCH($C73, 휴무일추천!$L$1:$R$1, 0)), "")</f>
        <v>45722</v>
      </c>
      <c r="L33" s="37">
        <f>IFERROR(INDEX(휴무일추천!$L$3:$R$3, MATCH($C73, 휴무일추천!$L$1:$R$1, 0)), "")</f>
        <v>45729</v>
      </c>
      <c r="M33" s="37">
        <f>IFERROR(INDEX(휴무일추천!$L$4:$R$4, MATCH($C73, 휴무일추천!$L$1:$R$1, 0)), "")</f>
        <v>45736</v>
      </c>
      <c r="N33" s="37">
        <f>IFERROR(INDEX(휴무일추천!$L$5:$R$5, MATCH($C73, 휴무일추천!$L$1:$R$1, 0)), "")</f>
        <v>45743</v>
      </c>
      <c r="O33" s="98" t="str">
        <f>IFERROR(INDEX(휴무일추천!$L$6:$R$6, MATCH($C73, 휴무일추천!$L$1:$R$1, 0)), "")</f>
        <v/>
      </c>
    </row>
    <row r="34" spans="1:69" ht="15.6" customHeight="1" thickTop="1" thickBot="1" x14ac:dyDescent="0.3">
      <c r="C34" s="79">
        <v>9</v>
      </c>
      <c r="D34" s="156" t="str">
        <f>이름기초!$B$19</f>
        <v>공란</v>
      </c>
      <c r="E34" s="195"/>
      <c r="F34" s="195"/>
      <c r="G34" s="195"/>
      <c r="H34" s="196"/>
      <c r="I34" s="89" t="str">
        <f>G109</f>
        <v/>
      </c>
      <c r="J34" s="96" t="str">
        <f t="shared" si="0"/>
        <v/>
      </c>
      <c r="K34" s="99" t="str">
        <f>IFERROR(INDEX(휴무일추천!$L$2:$R$2, MATCH($C74, 휴무일추천!$L$1:$R$1, 0)), "")</f>
        <v/>
      </c>
      <c r="L34" s="80" t="str">
        <f>IFERROR(INDEX(휴무일추천!$L$3:$R$3, MATCH($C74, 휴무일추천!$L$1:$R$1, 0)), "")</f>
        <v/>
      </c>
      <c r="M34" s="80" t="str">
        <f>IFERROR(INDEX(휴무일추천!$L$4:$R$4, MATCH($C74, 휴무일추천!$L$1:$R$1, 0)), "")</f>
        <v/>
      </c>
      <c r="N34" s="80" t="str">
        <f>IFERROR(INDEX(휴무일추천!$L$5:$R$5, MATCH($C74, 휴무일추천!$L$1:$R$1, 0)), "")</f>
        <v/>
      </c>
      <c r="O34" s="100" t="str">
        <f>IFERROR(INDEX(휴무일추천!$L$6:$R$6, MATCH($C74, 휴무일추천!$L$1:$R$1, 0)), "")</f>
        <v/>
      </c>
    </row>
    <row r="35" spans="1:69" ht="15.6" customHeight="1" thickTop="1" x14ac:dyDescent="0.25">
      <c r="E35" s="220" t="s">
        <v>115</v>
      </c>
    </row>
    <row r="36" spans="1:69" ht="50.4" customHeight="1" x14ac:dyDescent="0.25">
      <c r="D36" s="19"/>
      <c r="H36" s="19"/>
      <c r="J36" s="19"/>
      <c r="L36" s="19"/>
    </row>
    <row r="37" spans="1:69" ht="11.4" customHeight="1" x14ac:dyDescent="0.25"/>
    <row r="38" spans="1:69" ht="16.2" hidden="1" customHeight="1" x14ac:dyDescent="0.25">
      <c r="A38" s="13"/>
      <c r="B38" s="13"/>
    </row>
    <row r="39" spans="1:69" ht="16.2" hidden="1" customHeight="1" x14ac:dyDescent="0.25">
      <c r="C39" s="9" t="s">
        <v>13</v>
      </c>
      <c r="D39" s="2" t="s">
        <v>2</v>
      </c>
      <c r="E39" s="41">
        <v>1</v>
      </c>
      <c r="F39" s="41">
        <v>2</v>
      </c>
      <c r="G39" s="41">
        <v>3</v>
      </c>
      <c r="H39" s="41">
        <v>4</v>
      </c>
      <c r="I39" s="41">
        <v>5</v>
      </c>
      <c r="J39" s="41">
        <v>6</v>
      </c>
      <c r="K39" s="41">
        <v>7</v>
      </c>
      <c r="L39" s="41">
        <v>8</v>
      </c>
      <c r="M39" s="41">
        <v>9</v>
      </c>
      <c r="N39" s="41">
        <v>10</v>
      </c>
      <c r="O39" s="41">
        <v>11</v>
      </c>
      <c r="P39" s="41">
        <v>12</v>
      </c>
      <c r="Q39" s="41">
        <v>13</v>
      </c>
      <c r="R39" s="42"/>
      <c r="S39" s="42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</row>
    <row r="40" spans="1:69" ht="16.2" hidden="1" customHeight="1" x14ac:dyDescent="0.25">
      <c r="C40" s="9">
        <v>1</v>
      </c>
      <c r="D40" s="2" t="str">
        <f>이름기초!B11</f>
        <v>한영희</v>
      </c>
      <c r="E40" s="37" t="str">
        <f t="array" ref="E40:Q40">TRANSPOSE(IF(D4:D16=0,"",D4:D16))</f>
        <v/>
      </c>
      <c r="F40" s="37" t="str">
        <v/>
      </c>
      <c r="G40" s="37" t="str">
        <v/>
      </c>
      <c r="H40" s="37" t="str">
        <v/>
      </c>
      <c r="I40" s="37" t="str">
        <v/>
      </c>
      <c r="J40" s="37" t="str">
        <v/>
      </c>
      <c r="K40" s="37" t="str">
        <v/>
      </c>
      <c r="L40" s="37" t="str">
        <v/>
      </c>
      <c r="M40" s="37" t="str">
        <v/>
      </c>
      <c r="N40" s="37" t="str">
        <v/>
      </c>
      <c r="O40" s="37" t="str">
        <v/>
      </c>
      <c r="P40" s="37" t="str">
        <v/>
      </c>
      <c r="Q40" s="37" t="str">
        <v/>
      </c>
      <c r="R40" s="37"/>
      <c r="S40" s="38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</row>
    <row r="41" spans="1:69" ht="16.2" hidden="1" customHeight="1" x14ac:dyDescent="0.25">
      <c r="C41" s="9">
        <v>2</v>
      </c>
      <c r="D41" s="2" t="str">
        <f>이름기초!B12</f>
        <v>장영대</v>
      </c>
      <c r="E41" s="37">
        <f t="array" ref="E41:Q41">TRANSPOSE(IF(E4:E16=0,"",E4:E16))</f>
        <v>45721</v>
      </c>
      <c r="F41" s="37">
        <v>45728</v>
      </c>
      <c r="G41" s="37">
        <v>45735</v>
      </c>
      <c r="H41" s="37" t="str">
        <v/>
      </c>
      <c r="I41" s="37" t="str">
        <v/>
      </c>
      <c r="J41" s="37" t="str">
        <v/>
      </c>
      <c r="K41" s="37" t="str">
        <v/>
      </c>
      <c r="L41" s="37" t="str">
        <v/>
      </c>
      <c r="M41" s="37" t="str">
        <v/>
      </c>
      <c r="N41" s="37" t="str">
        <v/>
      </c>
      <c r="O41" s="37" t="str">
        <v/>
      </c>
      <c r="P41" s="37" t="str">
        <v/>
      </c>
      <c r="Q41" s="37" t="str">
        <v/>
      </c>
      <c r="R41" s="37"/>
      <c r="S41" s="38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</row>
    <row r="42" spans="1:69" ht="16.2" hidden="1" customHeight="1" x14ac:dyDescent="0.25">
      <c r="C42" s="9">
        <v>3</v>
      </c>
      <c r="D42" s="2" t="str">
        <f>이름기초!B13</f>
        <v>위선옥</v>
      </c>
      <c r="E42" s="37">
        <f t="array" ref="E42:Q42">TRANSPOSE(IF(F4:F16=0,"",F4:F16))</f>
        <v>45720</v>
      </c>
      <c r="F42" s="37">
        <v>45727</v>
      </c>
      <c r="G42" s="38">
        <v>45734</v>
      </c>
      <c r="H42" s="37" t="str">
        <v/>
      </c>
      <c r="I42" s="37" t="str">
        <v/>
      </c>
      <c r="J42" s="38" t="str">
        <v/>
      </c>
      <c r="K42" s="37" t="str">
        <v/>
      </c>
      <c r="L42" s="37" t="str">
        <v/>
      </c>
      <c r="M42" s="38" t="str">
        <v/>
      </c>
      <c r="N42" s="37" t="str">
        <v/>
      </c>
      <c r="O42" s="37" t="str">
        <v/>
      </c>
      <c r="P42" s="38" t="str">
        <v/>
      </c>
      <c r="Q42" s="37" t="str">
        <v/>
      </c>
      <c r="R42" s="37"/>
      <c r="S42" s="38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</row>
    <row r="43" spans="1:69" ht="16.2" hidden="1" customHeight="1" x14ac:dyDescent="0.25">
      <c r="C43" s="9">
        <v>4</v>
      </c>
      <c r="D43" s="2" t="str">
        <f>이름기초!B14</f>
        <v>오광웅</v>
      </c>
      <c r="E43" s="37">
        <f t="array" ref="E43:Q43">TRANSPOSE(IF(G4:G16=0,"",G4:G16))</f>
        <v>45717</v>
      </c>
      <c r="F43" s="37">
        <v>45745</v>
      </c>
      <c r="G43" s="37">
        <v>45734</v>
      </c>
      <c r="H43" s="37">
        <v>45735</v>
      </c>
      <c r="I43" s="37" t="str">
        <v/>
      </c>
      <c r="J43" s="37" t="str">
        <v/>
      </c>
      <c r="K43" s="37" t="str">
        <v/>
      </c>
      <c r="L43" s="37" t="str">
        <v/>
      </c>
      <c r="M43" s="37" t="str">
        <v/>
      </c>
      <c r="N43" s="37" t="str">
        <v/>
      </c>
      <c r="O43" s="37" t="str">
        <v/>
      </c>
      <c r="P43" s="37" t="str">
        <v/>
      </c>
      <c r="Q43" s="37" t="str">
        <v/>
      </c>
      <c r="R43" s="37"/>
      <c r="S43" s="38"/>
      <c r="T43" s="37"/>
      <c r="AA43" s="39"/>
      <c r="AB43" s="39"/>
      <c r="AC43" s="39"/>
      <c r="AD43" s="39"/>
      <c r="AE43" s="39"/>
      <c r="AF43" s="39"/>
      <c r="AG43" s="39"/>
      <c r="AH43" s="39"/>
      <c r="AI43" s="39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</row>
    <row r="44" spans="1:69" ht="16.2" hidden="1" customHeight="1" x14ac:dyDescent="0.25">
      <c r="C44" s="9">
        <v>5</v>
      </c>
      <c r="D44" s="2" t="str">
        <f>이름기초!B15</f>
        <v>안성용</v>
      </c>
      <c r="E44" s="37">
        <f t="array" ref="E44:Q44">TRANSPOSE(IF(H4:H16=0,"",H4:H16))</f>
        <v>45723</v>
      </c>
      <c r="F44" s="37" t="str">
        <v/>
      </c>
      <c r="G44" s="38" t="str">
        <v/>
      </c>
      <c r="H44" s="37" t="str">
        <v/>
      </c>
      <c r="I44" s="37" t="str">
        <v/>
      </c>
      <c r="J44" s="38" t="str">
        <v/>
      </c>
      <c r="K44" s="37" t="str">
        <v/>
      </c>
      <c r="L44" s="37" t="str">
        <v/>
      </c>
      <c r="M44" s="38" t="str">
        <v/>
      </c>
      <c r="N44" s="37" t="str">
        <v/>
      </c>
      <c r="O44" s="37" t="str">
        <v/>
      </c>
      <c r="P44" s="38" t="str">
        <v/>
      </c>
      <c r="Q44" s="37" t="str">
        <v/>
      </c>
      <c r="R44" s="37"/>
      <c r="S44" s="38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</row>
    <row r="45" spans="1:69" ht="16.2" hidden="1" customHeight="1" x14ac:dyDescent="0.25">
      <c r="C45" s="9">
        <v>6</v>
      </c>
      <c r="D45" s="2" t="str">
        <f>이름기초!B16</f>
        <v>신대진</v>
      </c>
      <c r="E45" s="37" t="str">
        <f t="array" ref="E45:Q45">TRANSPOSE(IF(I4:I16=0,"",I4:I16))</f>
        <v/>
      </c>
      <c r="F45" s="37" t="str">
        <v/>
      </c>
      <c r="G45" s="38" t="str">
        <v/>
      </c>
      <c r="H45" s="37" t="str">
        <v/>
      </c>
      <c r="I45" s="37" t="str">
        <v/>
      </c>
      <c r="J45" s="38" t="str">
        <v/>
      </c>
      <c r="K45" s="37" t="str">
        <v/>
      </c>
      <c r="L45" s="37" t="str">
        <v/>
      </c>
      <c r="M45" s="38" t="str">
        <v/>
      </c>
      <c r="N45" s="37" t="str">
        <v/>
      </c>
      <c r="O45" s="37" t="str">
        <v/>
      </c>
      <c r="P45" s="38" t="str">
        <v/>
      </c>
      <c r="Q45" s="37" t="str">
        <v/>
      </c>
      <c r="R45" s="37"/>
      <c r="S45" s="38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</row>
    <row r="46" spans="1:69" ht="16.2" hidden="1" customHeight="1" x14ac:dyDescent="0.25">
      <c r="C46" s="9">
        <v>7</v>
      </c>
      <c r="D46" s="2" t="str">
        <f>이름기초!B17</f>
        <v>김대화</v>
      </c>
      <c r="E46" s="37">
        <f t="array" ref="E46:Q46">TRANSPOSE(IF(J4:J16=0,"",J4:J16))</f>
        <v>45718</v>
      </c>
      <c r="F46" s="37">
        <v>45725</v>
      </c>
      <c r="G46" s="38" t="str">
        <v/>
      </c>
      <c r="H46" s="37" t="str">
        <v/>
      </c>
      <c r="I46" s="37" t="str">
        <v/>
      </c>
      <c r="J46" s="38" t="str">
        <v/>
      </c>
      <c r="K46" s="37" t="str">
        <v/>
      </c>
      <c r="L46" s="37" t="str">
        <v/>
      </c>
      <c r="M46" s="38" t="str">
        <v/>
      </c>
      <c r="N46" s="37" t="str">
        <v/>
      </c>
      <c r="O46" s="37" t="str">
        <v/>
      </c>
      <c r="P46" s="38" t="str">
        <v/>
      </c>
      <c r="Q46" s="37" t="str">
        <v/>
      </c>
      <c r="R46" s="37"/>
      <c r="S46" s="38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</row>
    <row r="47" spans="1:69" ht="16.2" hidden="1" customHeight="1" x14ac:dyDescent="0.25">
      <c r="C47" s="9">
        <v>8</v>
      </c>
      <c r="D47" s="2" t="str">
        <f>이름기초!B18</f>
        <v>김제원</v>
      </c>
      <c r="E47" s="37">
        <f t="array" ref="E47:Q47">TRANSPOSE(IF(K4:K16=0,"",K4:K16))</f>
        <v>45722</v>
      </c>
      <c r="F47" s="37">
        <v>45732</v>
      </c>
      <c r="G47" s="38">
        <v>45736</v>
      </c>
      <c r="H47" s="37" t="str">
        <v/>
      </c>
      <c r="I47" s="37" t="str">
        <v/>
      </c>
      <c r="J47" s="38" t="str">
        <v/>
      </c>
      <c r="K47" s="37" t="str">
        <v/>
      </c>
      <c r="L47" s="37" t="str">
        <v/>
      </c>
      <c r="M47" s="38" t="str">
        <v/>
      </c>
      <c r="N47" s="37" t="str">
        <v/>
      </c>
      <c r="O47" s="37" t="str">
        <v/>
      </c>
      <c r="P47" s="38" t="str">
        <v/>
      </c>
      <c r="Q47" s="37" t="str">
        <v/>
      </c>
      <c r="R47" s="37"/>
      <c r="S47" s="38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</row>
    <row r="48" spans="1:69" ht="16.2" hidden="1" customHeight="1" x14ac:dyDescent="0.25">
      <c r="C48" s="9">
        <v>9</v>
      </c>
      <c r="D48" s="2" t="str">
        <f>이름기초!B19</f>
        <v>공란</v>
      </c>
      <c r="E48" s="37" t="str">
        <f t="array" ref="E48:Q48">TRANSPOSE(IF(L4:L16=0,"",L4:L16))</f>
        <v/>
      </c>
      <c r="F48" s="37" t="str">
        <v/>
      </c>
      <c r="G48" s="38" t="str">
        <v/>
      </c>
      <c r="H48" s="37" t="str">
        <v/>
      </c>
      <c r="I48" s="37" t="str">
        <v/>
      </c>
      <c r="J48" s="38" t="str">
        <v/>
      </c>
      <c r="K48" s="37" t="str">
        <v/>
      </c>
      <c r="L48" s="37" t="str">
        <v/>
      </c>
      <c r="M48" s="38" t="str">
        <v/>
      </c>
      <c r="N48" s="37" t="str">
        <v/>
      </c>
      <c r="O48" s="37" t="str">
        <v/>
      </c>
      <c r="P48" s="38" t="str">
        <v/>
      </c>
      <c r="Q48" s="37" t="str">
        <v/>
      </c>
      <c r="R48" s="37"/>
      <c r="S48" s="38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</row>
    <row r="49" spans="1:33" ht="16.2" hidden="1" customHeight="1" x14ac:dyDescent="0.25">
      <c r="A49" s="84"/>
      <c r="B49" s="84"/>
      <c r="C49" s="85"/>
      <c r="D49" s="85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5"/>
    </row>
    <row r="50" spans="1:33" ht="16.2" hidden="1" customHeight="1" x14ac:dyDescent="0.25">
      <c r="A50" s="81"/>
      <c r="B50" s="81"/>
      <c r="C50" s="46"/>
      <c r="D50" s="46"/>
      <c r="E50" s="82"/>
      <c r="F50" s="82"/>
      <c r="G50" s="83"/>
      <c r="H50" s="82"/>
      <c r="I50" s="46"/>
      <c r="J50" s="46"/>
    </row>
    <row r="51" spans="1:33" ht="16.2" hidden="1" customHeight="1" x14ac:dyDescent="0.25">
      <c r="A51" s="9"/>
      <c r="B51" s="2" t="s">
        <v>2</v>
      </c>
      <c r="C51" s="17">
        <f>DATE($F$2,$H$2,1)</f>
        <v>45717</v>
      </c>
      <c r="D51" s="17">
        <f t="shared" ref="D51:Q51" si="2">C51+1</f>
        <v>45718</v>
      </c>
      <c r="E51" s="17">
        <f t="shared" si="2"/>
        <v>45719</v>
      </c>
      <c r="F51" s="17">
        <f t="shared" si="2"/>
        <v>45720</v>
      </c>
      <c r="G51" s="17">
        <f t="shared" si="2"/>
        <v>45721</v>
      </c>
      <c r="H51" s="17">
        <f t="shared" si="2"/>
        <v>45722</v>
      </c>
      <c r="I51" s="17">
        <f t="shared" si="2"/>
        <v>45723</v>
      </c>
      <c r="J51" s="17">
        <f t="shared" si="2"/>
        <v>45724</v>
      </c>
      <c r="K51" s="17">
        <f t="shared" si="2"/>
        <v>45725</v>
      </c>
      <c r="L51" s="17">
        <f t="shared" si="2"/>
        <v>45726</v>
      </c>
      <c r="M51" s="17">
        <f t="shared" si="2"/>
        <v>45727</v>
      </c>
      <c r="N51" s="17">
        <f t="shared" si="2"/>
        <v>45728</v>
      </c>
      <c r="O51" s="17">
        <f t="shared" si="2"/>
        <v>45729</v>
      </c>
      <c r="P51" s="17">
        <f t="shared" si="2"/>
        <v>45730</v>
      </c>
      <c r="Q51" s="17">
        <f t="shared" si="2"/>
        <v>45731</v>
      </c>
      <c r="R51" s="17">
        <f>C51+15</f>
        <v>45732</v>
      </c>
      <c r="S51" s="17">
        <f t="shared" ref="S51:AG52" si="3">R51+1</f>
        <v>45733</v>
      </c>
      <c r="T51" s="17">
        <f t="shared" si="3"/>
        <v>45734</v>
      </c>
      <c r="U51" s="17">
        <f t="shared" si="3"/>
        <v>45735</v>
      </c>
      <c r="V51" s="17">
        <f t="shared" si="3"/>
        <v>45736</v>
      </c>
      <c r="W51" s="17">
        <f t="shared" si="3"/>
        <v>45737</v>
      </c>
      <c r="X51" s="17">
        <f t="shared" si="3"/>
        <v>45738</v>
      </c>
      <c r="Y51" s="17">
        <f t="shared" si="3"/>
        <v>45739</v>
      </c>
      <c r="Z51" s="17">
        <f t="shared" si="3"/>
        <v>45740</v>
      </c>
      <c r="AA51" s="17">
        <f t="shared" si="3"/>
        <v>45741</v>
      </c>
      <c r="AB51" s="17">
        <f t="shared" si="3"/>
        <v>45742</v>
      </c>
      <c r="AC51" s="17">
        <f>AB51+1</f>
        <v>45743</v>
      </c>
      <c r="AD51" s="17">
        <f t="shared" si="3"/>
        <v>45744</v>
      </c>
      <c r="AE51" s="17">
        <f t="shared" si="3"/>
        <v>45745</v>
      </c>
      <c r="AF51" s="17">
        <f t="shared" si="3"/>
        <v>45746</v>
      </c>
      <c r="AG51" s="17">
        <f t="shared" si="3"/>
        <v>45747</v>
      </c>
    </row>
    <row r="52" spans="1:33" ht="16.2" hidden="1" customHeight="1" x14ac:dyDescent="0.25">
      <c r="A52" s="2"/>
      <c r="B52" s="2"/>
      <c r="C52" s="18">
        <f>DATE($F$2,$H$2,1)</f>
        <v>45717</v>
      </c>
      <c r="D52" s="18">
        <f t="shared" ref="D52:Q52" si="4">C52+1</f>
        <v>45718</v>
      </c>
      <c r="E52" s="18">
        <f t="shared" si="4"/>
        <v>45719</v>
      </c>
      <c r="F52" s="18">
        <f t="shared" si="4"/>
        <v>45720</v>
      </c>
      <c r="G52" s="18">
        <f t="shared" si="4"/>
        <v>45721</v>
      </c>
      <c r="H52" s="18">
        <f t="shared" si="4"/>
        <v>45722</v>
      </c>
      <c r="I52" s="18">
        <f t="shared" si="4"/>
        <v>45723</v>
      </c>
      <c r="J52" s="18">
        <f t="shared" si="4"/>
        <v>45724</v>
      </c>
      <c r="K52" s="18">
        <f t="shared" si="4"/>
        <v>45725</v>
      </c>
      <c r="L52" s="18">
        <f t="shared" si="4"/>
        <v>45726</v>
      </c>
      <c r="M52" s="18">
        <f t="shared" si="4"/>
        <v>45727</v>
      </c>
      <c r="N52" s="18">
        <f t="shared" si="4"/>
        <v>45728</v>
      </c>
      <c r="O52" s="18">
        <f t="shared" si="4"/>
        <v>45729</v>
      </c>
      <c r="P52" s="18">
        <f t="shared" si="4"/>
        <v>45730</v>
      </c>
      <c r="Q52" s="18">
        <f t="shared" si="4"/>
        <v>45731</v>
      </c>
      <c r="R52" s="18">
        <f>C52+15</f>
        <v>45732</v>
      </c>
      <c r="S52" s="18">
        <f t="shared" si="3"/>
        <v>45733</v>
      </c>
      <c r="T52" s="18">
        <f t="shared" si="3"/>
        <v>45734</v>
      </c>
      <c r="U52" s="18">
        <f t="shared" si="3"/>
        <v>45735</v>
      </c>
      <c r="V52" s="18">
        <f t="shared" si="3"/>
        <v>45736</v>
      </c>
      <c r="W52" s="18">
        <f t="shared" si="3"/>
        <v>45737</v>
      </c>
      <c r="X52" s="18">
        <f t="shared" si="3"/>
        <v>45738</v>
      </c>
      <c r="Y52" s="18">
        <f t="shared" si="3"/>
        <v>45739</v>
      </c>
      <c r="Z52" s="18">
        <f t="shared" si="3"/>
        <v>45740</v>
      </c>
      <c r="AA52" s="18">
        <f t="shared" si="3"/>
        <v>45741</v>
      </c>
      <c r="AB52" s="18">
        <f t="shared" si="3"/>
        <v>45742</v>
      </c>
      <c r="AC52" s="18">
        <f t="shared" si="3"/>
        <v>45743</v>
      </c>
      <c r="AD52" s="18">
        <f t="shared" si="3"/>
        <v>45744</v>
      </c>
      <c r="AE52" s="18">
        <f t="shared" si="3"/>
        <v>45745</v>
      </c>
      <c r="AF52" s="18">
        <f t="shared" si="3"/>
        <v>45746</v>
      </c>
      <c r="AG52" s="18">
        <f t="shared" si="3"/>
        <v>45747</v>
      </c>
    </row>
    <row r="53" spans="1:33" ht="16.2" hidden="1" customHeight="1" x14ac:dyDescent="0.25">
      <c r="A53" s="9">
        <v>1</v>
      </c>
      <c r="B53" s="2" t="str">
        <f>이름기초!$B$11</f>
        <v>한영희</v>
      </c>
      <c r="C53" s="75" t="str" cm="1">
        <f t="array" ref="C53">_xlfn.IFS(
     AND(C$51 &gt; $O$91, $N$91 = $B53), "",
    C$51 = $E26, $B53,
    C$51 = $F26, $B53,
    C$51 = $G26, $B53,
    C$51 = $H26, $B53,
    WEEKDAY(C$51, 1) = $C66, "",
    WEEKDAY(C$51, 1) = $D66, "",
    C$51 = $E40, "",
    C$51 = $F40, "",
    C$51 = $G40, "",
    C$51 = $H40, "",
    C$51 = $I40, "",
    C$51 = $J40, "",
    C$51 = $K40, "",
    C$51 = $L40, "",
    C$51 = $M40, "",
    C$51 = $N40, "",
    C$51 = $O40, "",
    C$51 = $P40, "",
    C$51 = $Q40, "",
    MONTH(C$51) &lt;&gt; MONTH(DATE($F$2, $H$2, 1)), "",
    TRUE, $B53
)</f>
        <v>한영희</v>
      </c>
      <c r="D53" s="75" t="str" cm="1">
        <f t="array" ref="D53">_xlfn.IFS(
     AND(D$51 &gt; $O$91, $N$91 = $B53), "",
    D$51 = $E26, $B53,
    D$51 = $F26, $B53,
    D$51 = $G26, $B53,
    D$51 = $H26, $B53,
    WEEKDAY(D$51, 1) = $C66, "",
    WEEKDAY(D$51, 1) = $D66, "",
    D$51 = $E40, "",
    D$51 = $F40, "",
    D$51 = $G40, "",
    D$51 = $H40, "",
    D$51 = $I40, "",
    D$51 = $J40, "",
    D$51 = $K40, "",
    D$51 = $L40, "",
    D$51 = $M40, "",
    D$51 = $N40, "",
    D$51 = $O40, "",
    D$51 = $P40, "",
    D$51 = $Q40, "",
    MONTH(D$51) &lt;&gt; MONTH(DATE($F$2, $H$2, 1)), "",
    TRUE, $B53
)</f>
        <v>한영희</v>
      </c>
      <c r="E53" s="75" t="str" cm="1">
        <f t="array" ref="E53">_xlfn.IFS(
     AND(E$51 &gt; $O$91, $N$91 = $B53), "",
    E$51 = $E26, $B53,
    E$51 = $F26, $B53,
    E$51 = $G26, $B53,
    E$51 = $H26, $B53,
    WEEKDAY(E$51, 1) = $C66, "",
    WEEKDAY(E$51, 1) = $D66, "",
    E$51 = $E40, "",
    E$51 = $F40, "",
    E$51 = $G40, "",
    E$51 = $H40, "",
    E$51 = $I40, "",
    E$51 = $J40, "",
    E$51 = $K40, "",
    E$51 = $L40, "",
    E$51 = $M40, "",
    E$51 = $N40, "",
    E$51 = $O40, "",
    E$51 = $P40, "",
    E$51 = $Q40, "",
    MONTH(E$51) &lt;&gt; MONTH(DATE($F$2, $H$2, 1)), "",
    TRUE, $B53
)</f>
        <v>한영희</v>
      </c>
      <c r="F53" s="75" t="str" cm="1">
        <f t="array" ref="F53">_xlfn.IFS(
     AND(F$51 &gt; $O$91, $N$91 = $B53), "",
    F$51 = $E26, $B53,
    F$51 = $F26, $B53,
    F$51 = $G26, $B53,
    F$51 = $H26, $B53,
    WEEKDAY(F$51, 1) = $C66, "",
    WEEKDAY(F$51, 1) = $D66, "",
    F$51 = $E40, "",
    F$51 = $F40, "",
    F$51 = $G40, "",
    F$51 = $H40, "",
    F$51 = $I40, "",
    F$51 = $J40, "",
    F$51 = $K40, "",
    F$51 = $L40, "",
    F$51 = $M40, "",
    F$51 = $N40, "",
    F$51 = $O40, "",
    F$51 = $P40, "",
    F$51 = $Q40, "",
    MONTH(F$51) &lt;&gt; MONTH(DATE($F$2, $H$2, 1)), "",
    TRUE, $B53
)</f>
        <v>한영희</v>
      </c>
      <c r="G53" s="75" t="str" cm="1">
        <f t="array" ref="G53">_xlfn.IFS(
     AND(G$51 &gt; $O$91, $N$91 = $B53), "",
    G$51 = $E26, $B53,
    G$51 = $F26, $B53,
    G$51 = $G26, $B53,
    G$51 = $H26, $B53,
    WEEKDAY(G$51, 1) = $C66, "",
    WEEKDAY(G$51, 1) = $D66, "",
    G$51 = $E40, "",
    G$51 = $F40, "",
    G$51 = $G40, "",
    G$51 = $H40, "",
    G$51 = $I40, "",
    G$51 = $J40, "",
    G$51 = $K40, "",
    G$51 = $L40, "",
    G$51 = $M40, "",
    G$51 = $N40, "",
    G$51 = $O40, "",
    G$51 = $P40, "",
    G$51 = $Q40, "",
    MONTH(G$51) &lt;&gt; MONTH(DATE($F$2, $H$2, 1)), "",
    TRUE, $B53
)</f>
        <v>한영희</v>
      </c>
      <c r="H53" s="75" t="str" cm="1">
        <f t="array" ref="H53">_xlfn.IFS(
     AND(H$51 &gt; $O$91, $N$91 = $B53), "",
    H$51 = $E26, $B53,
    H$51 = $F26, $B53,
    H$51 = $G26, $B53,
    H$51 = $H26, $B53,
    WEEKDAY(H$51, 1) = $C66, "",
    WEEKDAY(H$51, 1) = $D66, "",
    H$51 = $E40, "",
    H$51 = $F40, "",
    H$51 = $G40, "",
    H$51 = $H40, "",
    H$51 = $I40, "",
    H$51 = $J40, "",
    H$51 = $K40, "",
    H$51 = $L40, "",
    H$51 = $M40, "",
    H$51 = $N40, "",
    H$51 = $O40, "",
    H$51 = $P40, "",
    H$51 = $Q40, "",
    MONTH(H$51) &lt;&gt; MONTH(DATE($F$2, $H$2, 1)), "",
    TRUE, $B53
)</f>
        <v>한영희</v>
      </c>
      <c r="I53" s="75" t="str" cm="1">
        <f t="array" ref="I53">_xlfn.IFS(
     AND(I$51 &gt; $O$91, $N$91 = $B53), "",
    I$51 = $E26, $B53,
    I$51 = $F26, $B53,
    I$51 = $G26, $B53,
    I$51 = $H26, $B53,
    WEEKDAY(I$51, 1) = $C66, "",
    WEEKDAY(I$51, 1) = $D66, "",
    I$51 = $E40, "",
    I$51 = $F40, "",
    I$51 = $G40, "",
    I$51 = $H40, "",
    I$51 = $I40, "",
    I$51 = $J40, "",
    I$51 = $K40, "",
    I$51 = $L40, "",
    I$51 = $M40, "",
    I$51 = $N40, "",
    I$51 = $O40, "",
    I$51 = $P40, "",
    I$51 = $Q40, "",
    MONTH(I$51) &lt;&gt; MONTH(DATE($F$2, $H$2, 1)), "",
    TRUE, $B53
)</f>
        <v>한영희</v>
      </c>
      <c r="J53" s="75" t="str" cm="1">
        <f t="array" ref="J53">_xlfn.IFS(
     AND(J$51 &gt; $O$91, $N$91 = $B53), "",
    J$51 = $E26, $B53,
    J$51 = $F26, $B53,
    J$51 = $G26, $B53,
    J$51 = $H26, $B53,
    WEEKDAY(J$51, 1) = $C66, "",
    WEEKDAY(J$51, 1) = $D66, "",
    J$51 = $E40, "",
    J$51 = $F40, "",
    J$51 = $G40, "",
    J$51 = $H40, "",
    J$51 = $I40, "",
    J$51 = $J40, "",
    J$51 = $K40, "",
    J$51 = $L40, "",
    J$51 = $M40, "",
    J$51 = $N40, "",
    J$51 = $O40, "",
    J$51 = $P40, "",
    J$51 = $Q40, "",
    MONTH(J$51) &lt;&gt; MONTH(DATE($F$2, $H$2, 1)), "",
    TRUE, $B53
)</f>
        <v>한영희</v>
      </c>
      <c r="K53" s="75" t="str" cm="1">
        <f t="array" ref="K53">_xlfn.IFS(
     AND(K$51 &gt; $O$91, $N$91 = $B53), "",
    K$51 = $E26, $B53,
    K$51 = $F26, $B53,
    K$51 = $G26, $B53,
    K$51 = $H26, $B53,
    WEEKDAY(K$51, 1) = $C66, "",
    WEEKDAY(K$51, 1) = $D66, "",
    K$51 = $E40, "",
    K$51 = $F40, "",
    K$51 = $G40, "",
    K$51 = $H40, "",
    K$51 = $I40, "",
    K$51 = $J40, "",
    K$51 = $K40, "",
    K$51 = $L40, "",
    K$51 = $M40, "",
    K$51 = $N40, "",
    K$51 = $O40, "",
    K$51 = $P40, "",
    K$51 = $Q40, "",
    MONTH(K$51) &lt;&gt; MONTH(DATE($F$2, $H$2, 1)), "",
    TRUE, $B53
)</f>
        <v>한영희</v>
      </c>
      <c r="L53" s="75" t="str" cm="1">
        <f t="array" ref="L53">_xlfn.IFS(
     AND(L$51 &gt; $O$91, $N$91 = $B53), "",
    L$51 = $E26, $B53,
    L$51 = $F26, $B53,
    L$51 = $G26, $B53,
    L$51 = $H26, $B53,
    WEEKDAY(L$51, 1) = $C66, "",
    WEEKDAY(L$51, 1) = $D66, "",
    L$51 = $E40, "",
    L$51 = $F40, "",
    L$51 = $G40, "",
    L$51 = $H40, "",
    L$51 = $I40, "",
    L$51 = $J40, "",
    L$51 = $K40, "",
    L$51 = $L40, "",
    L$51 = $M40, "",
    L$51 = $N40, "",
    L$51 = $O40, "",
    L$51 = $P40, "",
    L$51 = $Q40, "",
    MONTH(L$51) &lt;&gt; MONTH(DATE($F$2, $H$2, 1)), "",
    TRUE, $B53
)</f>
        <v>한영희</v>
      </c>
      <c r="M53" s="75" t="str" cm="1">
        <f t="array" ref="M53">_xlfn.IFS(
     AND(M$51 &gt; $O$91, $N$91 = $B53), "",
    M$51 = $E26, $B53,
    M$51 = $F26, $B53,
    M$51 = $G26, $B53,
    M$51 = $H26, $B53,
    WEEKDAY(M$51, 1) = $C66, "",
    WEEKDAY(M$51, 1) = $D66, "",
    M$51 = $E40, "",
    M$51 = $F40, "",
    M$51 = $G40, "",
    M$51 = $H40, "",
    M$51 = $I40, "",
    M$51 = $J40, "",
    M$51 = $K40, "",
    M$51 = $L40, "",
    M$51 = $M40, "",
    M$51 = $N40, "",
    M$51 = $O40, "",
    M$51 = $P40, "",
    M$51 = $Q40, "",
    MONTH(M$51) &lt;&gt; MONTH(DATE($F$2, $H$2, 1)), "",
    TRUE, $B53
)</f>
        <v>한영희</v>
      </c>
      <c r="N53" s="75" t="str" cm="1">
        <f t="array" ref="N53">_xlfn.IFS(
     AND(N$51 &gt; $O$91, $N$91 = $B53), "",
    N$51 = $E26, $B53,
    N$51 = $F26, $B53,
    N$51 = $G26, $B53,
    N$51 = $H26, $B53,
    WEEKDAY(N$51, 1) = $C66, "",
    WEEKDAY(N$51, 1) = $D66, "",
    N$51 = $E40, "",
    N$51 = $F40, "",
    N$51 = $G40, "",
    N$51 = $H40, "",
    N$51 = $I40, "",
    N$51 = $J40, "",
    N$51 = $K40, "",
    N$51 = $L40, "",
    N$51 = $M40, "",
    N$51 = $N40, "",
    N$51 = $O40, "",
    N$51 = $P40, "",
    N$51 = $Q40, "",
    MONTH(N$51) &lt;&gt; MONTH(DATE($F$2, $H$2, 1)), "",
    TRUE, $B53
)</f>
        <v>한영희</v>
      </c>
      <c r="O53" s="75" t="str" cm="1">
        <f t="array" ref="O53">_xlfn.IFS(
     AND(O$51 &gt; $O$91, $N$91 = $B53), "",
    O$51 = $E26, $B53,
    O$51 = $F26, $B53,
    O$51 = $G26, $B53,
    O$51 = $H26, $B53,
    WEEKDAY(O$51, 1) = $C66, "",
    WEEKDAY(O$51, 1) = $D66, "",
    O$51 = $E40, "",
    O$51 = $F40, "",
    O$51 = $G40, "",
    O$51 = $H40, "",
    O$51 = $I40, "",
    O$51 = $J40, "",
    O$51 = $K40, "",
    O$51 = $L40, "",
    O$51 = $M40, "",
    O$51 = $N40, "",
    O$51 = $O40, "",
    O$51 = $P40, "",
    O$51 = $Q40, "",
    MONTH(O$51) &lt;&gt; MONTH(DATE($F$2, $H$2, 1)), "",
    TRUE, $B53
)</f>
        <v>한영희</v>
      </c>
      <c r="P53" s="75" t="str" cm="1">
        <f t="array" ref="P53">_xlfn.IFS(
     AND(P$51 &gt; $O$91, $N$91 = $B53), "",
    P$51 = $E26, $B53,
    P$51 = $F26, $B53,
    P$51 = $G26, $B53,
    P$51 = $H26, $B53,
    WEEKDAY(P$51, 1) = $C66, "",
    WEEKDAY(P$51, 1) = $D66, "",
    P$51 = $E40, "",
    P$51 = $F40, "",
    P$51 = $G40, "",
    P$51 = $H40, "",
    P$51 = $I40, "",
    P$51 = $J40, "",
    P$51 = $K40, "",
    P$51 = $L40, "",
    P$51 = $M40, "",
    P$51 = $N40, "",
    P$51 = $O40, "",
    P$51 = $P40, "",
    P$51 = $Q40, "",
    MONTH(P$51) &lt;&gt; MONTH(DATE($F$2, $H$2, 1)), "",
    TRUE, $B53
)</f>
        <v>한영희</v>
      </c>
      <c r="Q53" s="75" t="str" cm="1">
        <f t="array" ref="Q53">_xlfn.IFS(
     AND(Q$51 &gt; $O$91, $N$91 = $B53), "",
    Q$51 = $E26, $B53,
    Q$51 = $F26, $B53,
    Q$51 = $G26, $B53,
    Q$51 = $H26, $B53,
    WEEKDAY(Q$51, 1) = $C66, "",
    WEEKDAY(Q$51, 1) = $D66, "",
    Q$51 = $E40, "",
    Q$51 = $F40, "",
    Q$51 = $G40, "",
    Q$51 = $H40, "",
    Q$51 = $I40, "",
    Q$51 = $J40, "",
    Q$51 = $K40, "",
    Q$51 = $L40, "",
    Q$51 = $M40, "",
    Q$51 = $N40, "",
    Q$51 = $O40, "",
    Q$51 = $P40, "",
    Q$51 = $Q40, "",
    MONTH(Q$51) &lt;&gt; MONTH(DATE($F$2, $H$2, 1)), "",
    TRUE, $B53
)</f>
        <v>한영희</v>
      </c>
      <c r="R53" s="75" t="str" cm="1">
        <f t="array" ref="R53">_xlfn.IFS(
     AND(R$51 &gt; $O$91, $N$91 = $B53), "",
    R$51 = $E26, $B53,
    R$51 = $F26, $B53,
    R$51 = $G26, $B53,
    R$51 = $H26, $B53,
    WEEKDAY(R$51, 1) = $C66, "",
    WEEKDAY(R$51, 1) = $D66, "",
    R$51 = $E40, "",
    R$51 = $F40, "",
    R$51 = $G40, "",
    R$51 = $H40, "",
    R$51 = $I40, "",
    R$51 = $J40, "",
    R$51 = $K40, "",
    R$51 = $L40, "",
    R$51 = $M40, "",
    R$51 = $N40, "",
    R$51 = $O40, "",
    R$51 = $P40, "",
    R$51 = $Q40, "",
    MONTH(R$51) &lt;&gt; MONTH(DATE($F$2, $H$2, 1)), "",
    TRUE, $B53
)</f>
        <v>한영희</v>
      </c>
      <c r="S53" s="75" t="str" cm="1">
        <f t="array" ref="S53">_xlfn.IFS(
     AND(S$51 &gt; $O$91, $N$91 = $B53), "",
    S$51 = $E26, $B53,
    S$51 = $F26, $B53,
    S$51 = $G26, $B53,
    S$51 = $H26, $B53,
    WEEKDAY(S$51, 1) = $C66, "",
    WEEKDAY(S$51, 1) = $D66, "",
    S$51 = $E40, "",
    S$51 = $F40, "",
    S$51 = $G40, "",
    S$51 = $H40, "",
    S$51 = $I40, "",
    S$51 = $J40, "",
    S$51 = $K40, "",
    S$51 = $L40, "",
    S$51 = $M40, "",
    S$51 = $N40, "",
    S$51 = $O40, "",
    S$51 = $P40, "",
    S$51 = $Q40, "",
    MONTH(S$51) &lt;&gt; MONTH(DATE($F$2, $H$2, 1)), "",
    TRUE, $B53
)</f>
        <v>한영희</v>
      </c>
      <c r="T53" s="75" t="str" cm="1">
        <f t="array" ref="T53">_xlfn.IFS(
     AND(T$51 &gt; $O$91, $N$91 = $B53), "",
    T$51 = $E26, $B53,
    T$51 = $F26, $B53,
    T$51 = $G26, $B53,
    T$51 = $H26, $B53,
    WEEKDAY(T$51, 1) = $C66, "",
    WEEKDAY(T$51, 1) = $D66, "",
    T$51 = $E40, "",
    T$51 = $F40, "",
    T$51 = $G40, "",
    T$51 = $H40, "",
    T$51 = $I40, "",
    T$51 = $J40, "",
    T$51 = $K40, "",
    T$51 = $L40, "",
    T$51 = $M40, "",
    T$51 = $N40, "",
    T$51 = $O40, "",
    T$51 = $P40, "",
    T$51 = $Q40, "",
    MONTH(T$51) &lt;&gt; MONTH(DATE($F$2, $H$2, 1)), "",
    TRUE, $B53
)</f>
        <v>한영희</v>
      </c>
      <c r="U53" s="75" t="str" cm="1">
        <f t="array" ref="U53">_xlfn.IFS(
     AND(U$51 &gt; $O$91, $N$91 = $B53), "",
    U$51 = $E26, $B53,
    U$51 = $F26, $B53,
    U$51 = $G26, $B53,
    U$51 = $H26, $B53,
    WEEKDAY(U$51, 1) = $C66, "",
    WEEKDAY(U$51, 1) = $D66, "",
    U$51 = $E40, "",
    U$51 = $F40, "",
    U$51 = $G40, "",
    U$51 = $H40, "",
    U$51 = $I40, "",
    U$51 = $J40, "",
    U$51 = $K40, "",
    U$51 = $L40, "",
    U$51 = $M40, "",
    U$51 = $N40, "",
    U$51 = $O40, "",
    U$51 = $P40, "",
    U$51 = $Q40, "",
    MONTH(U$51) &lt;&gt; MONTH(DATE($F$2, $H$2, 1)), "",
    TRUE, $B53
)</f>
        <v>한영희</v>
      </c>
      <c r="V53" s="75" t="str" cm="1">
        <f t="array" ref="V53">_xlfn.IFS(
     AND(V$51 &gt; $O$91, $N$91 = $B53), "",
    V$51 = $E26, $B53,
    V$51 = $F26, $B53,
    V$51 = $G26, $B53,
    V$51 = $H26, $B53,
    WEEKDAY(V$51, 1) = $C66, "",
    WEEKDAY(V$51, 1) = $D66, "",
    V$51 = $E40, "",
    V$51 = $F40, "",
    V$51 = $G40, "",
    V$51 = $H40, "",
    V$51 = $I40, "",
    V$51 = $J40, "",
    V$51 = $K40, "",
    V$51 = $L40, "",
    V$51 = $M40, "",
    V$51 = $N40, "",
    V$51 = $O40, "",
    V$51 = $P40, "",
    V$51 = $Q40, "",
    MONTH(V$51) &lt;&gt; MONTH(DATE($F$2, $H$2, 1)), "",
    TRUE, $B53
)</f>
        <v>한영희</v>
      </c>
      <c r="W53" s="75" t="str" cm="1">
        <f t="array" ref="W53">_xlfn.IFS(
     AND(W$51 &gt; $O$91, $N$91 = $B53), "",
    W$51 = $E26, $B53,
    W$51 = $F26, $B53,
    W$51 = $G26, $B53,
    W$51 = $H26, $B53,
    WEEKDAY(W$51, 1) = $C66, "",
    WEEKDAY(W$51, 1) = $D66, "",
    W$51 = $E40, "",
    W$51 = $F40, "",
    W$51 = $G40, "",
    W$51 = $H40, "",
    W$51 = $I40, "",
    W$51 = $J40, "",
    W$51 = $K40, "",
    W$51 = $L40, "",
    W$51 = $M40, "",
    W$51 = $N40, "",
    W$51 = $O40, "",
    W$51 = $P40, "",
    W$51 = $Q40, "",
    MONTH(W$51) &lt;&gt; MONTH(DATE($F$2, $H$2, 1)), "",
    TRUE, $B53
)</f>
        <v>한영희</v>
      </c>
      <c r="X53" s="75" t="str" cm="1">
        <f t="array" ref="X53">_xlfn.IFS(
     AND(X$51 &gt; $O$91, $N$91 = $B53), "",
    X$51 = $E26, $B53,
    X$51 = $F26, $B53,
    X$51 = $G26, $B53,
    X$51 = $H26, $B53,
    WEEKDAY(X$51, 1) = $C66, "",
    WEEKDAY(X$51, 1) = $D66, "",
    X$51 = $E40, "",
    X$51 = $F40, "",
    X$51 = $G40, "",
    X$51 = $H40, "",
    X$51 = $I40, "",
    X$51 = $J40, "",
    X$51 = $K40, "",
    X$51 = $L40, "",
    X$51 = $M40, "",
    X$51 = $N40, "",
    X$51 = $O40, "",
    X$51 = $P40, "",
    X$51 = $Q40, "",
    MONTH(X$51) &lt;&gt; MONTH(DATE($F$2, $H$2, 1)), "",
    TRUE, $B53
)</f>
        <v>한영희</v>
      </c>
      <c r="Y53" s="75" t="str" cm="1">
        <f t="array" ref="Y53">_xlfn.IFS(
     AND(Y$51 &gt; $O$91, $N$91 = $B53), "",
    Y$51 = $E26, $B53,
    Y$51 = $F26, $B53,
    Y$51 = $G26, $B53,
    Y$51 = $H26, $B53,
    WEEKDAY(Y$51, 1) = $C66, "",
    WEEKDAY(Y$51, 1) = $D66, "",
    Y$51 = $E40, "",
    Y$51 = $F40, "",
    Y$51 = $G40, "",
    Y$51 = $H40, "",
    Y$51 = $I40, "",
    Y$51 = $J40, "",
    Y$51 = $K40, "",
    Y$51 = $L40, "",
    Y$51 = $M40, "",
    Y$51 = $N40, "",
    Y$51 = $O40, "",
    Y$51 = $P40, "",
    Y$51 = $Q40, "",
    MONTH(Y$51) &lt;&gt; MONTH(DATE($F$2, $H$2, 1)), "",
    TRUE, $B53
)</f>
        <v>한영희</v>
      </c>
      <c r="Z53" s="75" t="str" cm="1">
        <f t="array" ref="Z53">_xlfn.IFS(
     AND(Z$51 &gt; $O$91, $N$91 = $B53), "",
    Z$51 = $E26, $B53,
    Z$51 = $F26, $B53,
    Z$51 = $G26, $B53,
    Z$51 = $H26, $B53,
    WEEKDAY(Z$51, 1) = $C66, "",
    WEEKDAY(Z$51, 1) = $D66, "",
    Z$51 = $E40, "",
    Z$51 = $F40, "",
    Z$51 = $G40, "",
    Z$51 = $H40, "",
    Z$51 = $I40, "",
    Z$51 = $J40, "",
    Z$51 = $K40, "",
    Z$51 = $L40, "",
    Z$51 = $M40, "",
    Z$51 = $N40, "",
    Z$51 = $O40, "",
    Z$51 = $P40, "",
    Z$51 = $Q40, "",
    MONTH(Z$51) &lt;&gt; MONTH(DATE($F$2, $H$2, 1)), "",
    TRUE, $B53
)</f>
        <v>한영희</v>
      </c>
      <c r="AA53" s="75" t="str" cm="1">
        <f t="array" ref="AA53">_xlfn.IFS(
     AND(AA$51 &gt; $O$91, $N$91 = $B53), "",
    AA$51 = $E26, $B53,
    AA$51 = $F26, $B53,
    AA$51 = $G26, $B53,
    AA$51 = $H26, $B53,
    WEEKDAY(AA$51, 1) = $C66, "",
    WEEKDAY(AA$51, 1) = $D66, "",
    AA$51 = $E40, "",
    AA$51 = $F40, "",
    AA$51 = $G40, "",
    AA$51 = $H40, "",
    AA$51 = $I40, "",
    AA$51 = $J40, "",
    AA$51 = $K40, "",
    AA$51 = $L40, "",
    AA$51 = $M40, "",
    AA$51 = $N40, "",
    AA$51 = $O40, "",
    AA$51 = $P40, "",
    AA$51 = $Q40, "",
    MONTH(AA$51) &lt;&gt; MONTH(DATE($F$2, $H$2, 1)), "",
    TRUE, $B53
)</f>
        <v>한영희</v>
      </c>
      <c r="AB53" s="75" t="str" cm="1">
        <f t="array" ref="AB53">_xlfn.IFS(
     AND(AB$51 &gt; $O$91, $N$91 = $B53), "",
    AB$51 = $E26, $B53,
    AB$51 = $F26, $B53,
    AB$51 = $G26, $B53,
    AB$51 = $H26, $B53,
    WEEKDAY(AB$51, 1) = $C66, "",
    WEEKDAY(AB$51, 1) = $D66, "",
    AB$51 = $E40, "",
    AB$51 = $F40, "",
    AB$51 = $G40, "",
    AB$51 = $H40, "",
    AB$51 = $I40, "",
    AB$51 = $J40, "",
    AB$51 = $K40, "",
    AB$51 = $L40, "",
    AB$51 = $M40, "",
    AB$51 = $N40, "",
    AB$51 = $O40, "",
    AB$51 = $P40, "",
    AB$51 = $Q40, "",
    MONTH(AB$51) &lt;&gt; MONTH(DATE($F$2, $H$2, 1)), "",
    TRUE, $B53
)</f>
        <v>한영희</v>
      </c>
      <c r="AC53" s="75" t="str" cm="1">
        <f t="array" ref="AC53">_xlfn.IFS(
     AND(AC$51 &gt; $O$91, $N$91 = $B53), "",
    AC$51 = $E26, $B53,
    AC$51 = $F26, $B53,
    AC$51 = $G26, $B53,
    AC$51 = $H26, $B53,
    WEEKDAY(AC$51, 1) = $C66, "",
    WEEKDAY(AC$51, 1) = $D66, "",
    AC$51 = $E40, "",
    AC$51 = $F40, "",
    AC$51 = $G40, "",
    AC$51 = $H40, "",
    AC$51 = $I40, "",
    AC$51 = $J40, "",
    AC$51 = $K40, "",
    AC$51 = $L40, "",
    AC$51 = $M40, "",
    AC$51 = $N40, "",
    AC$51 = $O40, "",
    AC$51 = $P40, "",
    AC$51 = $Q40, "",
    MONTH(AC$51) &lt;&gt; MONTH(DATE($F$2, $H$2, 1)), "",
    TRUE, $B53
)</f>
        <v>한영희</v>
      </c>
      <c r="AD53" s="75" t="str" cm="1">
        <f t="array" ref="AD53">_xlfn.IFS(
     AND(AD$51 &gt; $O$91, $N$91 = $B53), "",
    AD$51 = $E26, $B53,
    AD$51 = $F26, $B53,
    AD$51 = $G26, $B53,
    AD$51 = $H26, $B53,
    WEEKDAY(AD$51, 1) = $C66, "",
    WEEKDAY(AD$51, 1) = $D66, "",
    AD$51 = $E40, "",
    AD$51 = $F40, "",
    AD$51 = $G40, "",
    AD$51 = $H40, "",
    AD$51 = $I40, "",
    AD$51 = $J40, "",
    AD$51 = $K40, "",
    AD$51 = $L40, "",
    AD$51 = $M40, "",
    AD$51 = $N40, "",
    AD$51 = $O40, "",
    AD$51 = $P40, "",
    AD$51 = $Q40, "",
    MONTH(AD$51) &lt;&gt; MONTH(DATE($F$2, $H$2, 1)), "",
    TRUE, $B53
)</f>
        <v>한영희</v>
      </c>
      <c r="AE53" s="75" t="str" cm="1">
        <f t="array" ref="AE53">_xlfn.IFS(
     AND(AE$51 &gt; $O$91, $N$91 = $B53), "",
    AE$51 = $E26, $B53,
    AE$51 = $F26, $B53,
    AE$51 = $G26, $B53,
    AE$51 = $H26, $B53,
    WEEKDAY(AE$51, 1) = $C66, "",
    WEEKDAY(AE$51, 1) = $D66, "",
    AE$51 = $E40, "",
    AE$51 = $F40, "",
    AE$51 = $G40, "",
    AE$51 = $H40, "",
    AE$51 = $I40, "",
    AE$51 = $J40, "",
    AE$51 = $K40, "",
    AE$51 = $L40, "",
    AE$51 = $M40, "",
    AE$51 = $N40, "",
    AE$51 = $O40, "",
    AE$51 = $P40, "",
    AE$51 = $Q40, "",
    MONTH(AE$51) &lt;&gt; MONTH(DATE($F$2, $H$2, 1)), "",
    TRUE, $B53
)</f>
        <v>한영희</v>
      </c>
      <c r="AF53" s="75" t="str" cm="1">
        <f t="array" ref="AF53">_xlfn.IFS(
     AND(AF$51 &gt; $O$91, $N$91 = $B53), "",
    AF$51 = $E26, $B53,
    AF$51 = $F26, $B53,
    AF$51 = $G26, $B53,
    AF$51 = $H26, $B53,
    WEEKDAY(AF$51, 1) = $C66, "",
    WEEKDAY(AF$51, 1) = $D66, "",
    AF$51 = $E40, "",
    AF$51 = $F40, "",
    AF$51 = $G40, "",
    AF$51 = $H40, "",
    AF$51 = $I40, "",
    AF$51 = $J40, "",
    AF$51 = $K40, "",
    AF$51 = $L40, "",
    AF$51 = $M40, "",
    AF$51 = $N40, "",
    AF$51 = $O40, "",
    AF$51 = $P40, "",
    AF$51 = $Q40, "",
    MONTH(AF$51) &lt;&gt; MONTH(DATE($F$2, $H$2, 1)), "",
    TRUE, $B53
)</f>
        <v>한영희</v>
      </c>
      <c r="AG53" s="75" t="str" cm="1">
        <f t="array" ref="AG53">_xlfn.IFS(
     AND(AG$51 &gt; $O$91, $N$91 = $B53), "",
    AG$51 = $E26, $B53,
    AG$51 = $F26, $B53,
    AG$51 = $G26, $B53,
    AG$51 = $H26, $B53,
    WEEKDAY(AG$51, 1) = $C66, "",
    WEEKDAY(AG$51, 1) = $D66, "",
    AG$51 = $E40, "",
    AG$51 = $F40, "",
    AG$51 = $G40, "",
    AG$51 = $H40, "",
    AG$51 = $I40, "",
    AG$51 = $J40, "",
    AG$51 = $K40, "",
    AG$51 = $L40, "",
    AG$51 = $M40, "",
    AG$51 = $N40, "",
    AG$51 = $O40, "",
    AG$51 = $P40, "",
    AG$51 = $Q40, "",
    MONTH(AG$51) &lt;&gt; MONTH(DATE($F$2, $H$2, 1)), "",
    TRUE, $B53
)</f>
        <v>한영희</v>
      </c>
    </row>
    <row r="54" spans="1:33" ht="16.2" hidden="1" customHeight="1" x14ac:dyDescent="0.25">
      <c r="A54" s="9">
        <v>2</v>
      </c>
      <c r="B54" s="2" t="str">
        <f>이름기초!$B$12</f>
        <v>장영대</v>
      </c>
      <c r="C54" s="75" t="str" cm="1">
        <f t="array" ref="C54">_xlfn.IFS(
     AND(C$51 &gt; $O$91, $N$91 = $B54), "",
    C$51 = $E27, $B54,
    C$51 = $F27, $B54,
    C$51 = $G27, $B54,
    C$51 = $H27, $B54,
    WEEKDAY(C$51, 1) = $C67, "",
    WEEKDAY(C$51, 1) = $D67, "",
    C$51 = $E41, "",
    C$51 = $F41, "",
    C$51 = $G41, "",
    C$51 = $H41, "",
    C$51 = $I41, "",
    C$51 = $J41, "",
    C$51 = $K41, "",
    C$51 = $L41, "",
    C$51 = $M41, "",
    C$51 = $N41, "",
    C$51 = $O41, "",
    C$51 = $P41, "",
    C$51 = $Q41, "",
    MONTH(C$51) &lt;&gt; MONTH(DATE($F$2, $H$2, 1)), "",
    TRUE, $B54
)</f>
        <v>장영대</v>
      </c>
      <c r="D54" s="75" t="str" cm="1">
        <f t="array" ref="D54">_xlfn.IFS(
     AND(D$51 &gt; $O$91, $N$91 = $B54), "",
    D$51 = $E27, $B54,
    D$51 = $F27, $B54,
    D$51 = $G27, $B54,
    D$51 = $H27, $B54,
    WEEKDAY(D$51, 1) = $C67, "",
    WEEKDAY(D$51, 1) = $D67, "",
    D$51 = $E41, "",
    D$51 = $F41, "",
    D$51 = $G41, "",
    D$51 = $H41, "",
    D$51 = $I41, "",
    D$51 = $J41, "",
    D$51 = $K41, "",
    D$51 = $L41, "",
    D$51 = $M41, "",
    D$51 = $N41, "",
    D$51 = $O41, "",
    D$51 = $P41, "",
    D$51 = $Q41, "",
    MONTH(D$51) &lt;&gt; MONTH(DATE($F$2, $H$2, 1)), "",
    TRUE, $B54
)</f>
        <v>장영대</v>
      </c>
      <c r="E54" s="75" t="str" cm="1">
        <f t="array" ref="E54">_xlfn.IFS(
     AND(E$51 &gt; $O$91, $N$91 = $B54), "",
    E$51 = $E27, $B54,
    E$51 = $F27, $B54,
    E$51 = $G27, $B54,
    E$51 = $H27, $B54,
    WEEKDAY(E$51, 1) = $C67, "",
    WEEKDAY(E$51, 1) = $D67, "",
    E$51 = $E41, "",
    E$51 = $F41, "",
    E$51 = $G41, "",
    E$51 = $H41, "",
    E$51 = $I41, "",
    E$51 = $J41, "",
    E$51 = $K41, "",
    E$51 = $L41, "",
    E$51 = $M41, "",
    E$51 = $N41, "",
    E$51 = $O41, "",
    E$51 = $P41, "",
    E$51 = $Q41, "",
    MONTH(E$51) &lt;&gt; MONTH(DATE($F$2, $H$2, 1)), "",
    TRUE, $B54
)</f>
        <v>장영대</v>
      </c>
      <c r="F54" s="75" t="str" cm="1">
        <f t="array" ref="F54">_xlfn.IFS(
     AND(F$51 &gt; $O$91, $N$91 = $B54), "",
    F$51 = $E27, $B54,
    F$51 = $F27, $B54,
    F$51 = $G27, $B54,
    F$51 = $H27, $B54,
    WEEKDAY(F$51, 1) = $C67, "",
    WEEKDAY(F$51, 1) = $D67, "",
    F$51 = $E41, "",
    F$51 = $F41, "",
    F$51 = $G41, "",
    F$51 = $H41, "",
    F$51 = $I41, "",
    F$51 = $J41, "",
    F$51 = $K41, "",
    F$51 = $L41, "",
    F$51 = $M41, "",
    F$51 = $N41, "",
    F$51 = $O41, "",
    F$51 = $P41, "",
    F$51 = $Q41, "",
    MONTH(F$51) &lt;&gt; MONTH(DATE($F$2, $H$2, 1)), "",
    TRUE, $B54
)</f>
        <v>장영대</v>
      </c>
      <c r="G54" s="75" t="str" cm="1">
        <f t="array" ref="G54">_xlfn.IFS(
     AND(G$51 &gt; $O$91, $N$91 = $B54), "",
    G$51 = $E27, $B54,
    G$51 = $F27, $B54,
    G$51 = $G27, $B54,
    G$51 = $H27, $B54,
    WEEKDAY(G$51, 1) = $C67, "",
    WEEKDAY(G$51, 1) = $D67, "",
    G$51 = $E41, "",
    G$51 = $F41, "",
    G$51 = $G41, "",
    G$51 = $H41, "",
    G$51 = $I41, "",
    G$51 = $J41, "",
    G$51 = $K41, "",
    G$51 = $L41, "",
    G$51 = $M41, "",
    G$51 = $N41, "",
    G$51 = $O41, "",
    G$51 = $P41, "",
    G$51 = $Q41, "",
    MONTH(G$51) &lt;&gt; MONTH(DATE($F$2, $H$2, 1)), "",
    TRUE, $B54
)</f>
        <v/>
      </c>
      <c r="H54" s="75" t="str" cm="1">
        <f t="array" ref="H54">_xlfn.IFS(
     AND(H$51 &gt; $O$91, $N$91 = $B54), "",
    H$51 = $E27, $B54,
    H$51 = $F27, $B54,
    H$51 = $G27, $B54,
    H$51 = $H27, $B54,
    WEEKDAY(H$51, 1) = $C67, "",
    WEEKDAY(H$51, 1) = $D67, "",
    H$51 = $E41, "",
    H$51 = $F41, "",
    H$51 = $G41, "",
    H$51 = $H41, "",
    H$51 = $I41, "",
    H$51 = $J41, "",
    H$51 = $K41, "",
    H$51 = $L41, "",
    H$51 = $M41, "",
    H$51 = $N41, "",
    H$51 = $O41, "",
    H$51 = $P41, "",
    H$51 = $Q41, "",
    MONTH(H$51) &lt;&gt; MONTH(DATE($F$2, $H$2, 1)), "",
    TRUE, $B54
)</f>
        <v/>
      </c>
      <c r="I54" s="75" t="str" cm="1">
        <f t="array" ref="I54">_xlfn.IFS(
     AND(I$51 &gt; $O$91, $N$91 = $B54), "",
    I$51 = $E27, $B54,
    I$51 = $F27, $B54,
    I$51 = $G27, $B54,
    I$51 = $H27, $B54,
    WEEKDAY(I$51, 1) = $C67, "",
    WEEKDAY(I$51, 1) = $D67, "",
    I$51 = $E41, "",
    I$51 = $F41, "",
    I$51 = $G41, "",
    I$51 = $H41, "",
    I$51 = $I41, "",
    I$51 = $J41, "",
    I$51 = $K41, "",
    I$51 = $L41, "",
    I$51 = $M41, "",
    I$51 = $N41, "",
    I$51 = $O41, "",
    I$51 = $P41, "",
    I$51 = $Q41, "",
    MONTH(I$51) &lt;&gt; MONTH(DATE($F$2, $H$2, 1)), "",
    TRUE, $B54
)</f>
        <v/>
      </c>
      <c r="J54" s="75" t="str" cm="1">
        <f t="array" ref="J54">_xlfn.IFS(
     AND(J$51 &gt; $O$91, $N$91 = $B54), "",
    J$51 = $E27, $B54,
    J$51 = $F27, $B54,
    J$51 = $G27, $B54,
    J$51 = $H27, $B54,
    WEEKDAY(J$51, 1) = $C67, "",
    WEEKDAY(J$51, 1) = $D67, "",
    J$51 = $E41, "",
    J$51 = $F41, "",
    J$51 = $G41, "",
    J$51 = $H41, "",
    J$51 = $I41, "",
    J$51 = $J41, "",
    J$51 = $K41, "",
    J$51 = $L41, "",
    J$51 = $M41, "",
    J$51 = $N41, "",
    J$51 = $O41, "",
    J$51 = $P41, "",
    J$51 = $Q41, "",
    MONTH(J$51) &lt;&gt; MONTH(DATE($F$2, $H$2, 1)), "",
    TRUE, $B54
)</f>
        <v>장영대</v>
      </c>
      <c r="K54" s="75" t="str" cm="1">
        <f t="array" ref="K54">_xlfn.IFS(
     AND(K$51 &gt; $O$91, $N$91 = $B54), "",
    K$51 = $E27, $B54,
    K$51 = $F27, $B54,
    K$51 = $G27, $B54,
    K$51 = $H27, $B54,
    WEEKDAY(K$51, 1) = $C67, "",
    WEEKDAY(K$51, 1) = $D67, "",
    K$51 = $E41, "",
    K$51 = $F41, "",
    K$51 = $G41, "",
    K$51 = $H41, "",
    K$51 = $I41, "",
    K$51 = $J41, "",
    K$51 = $K41, "",
    K$51 = $L41, "",
    K$51 = $M41, "",
    K$51 = $N41, "",
    K$51 = $O41, "",
    K$51 = $P41, "",
    K$51 = $Q41, "",
    MONTH(K$51) &lt;&gt; MONTH(DATE($F$2, $H$2, 1)), "",
    TRUE, $B54
)</f>
        <v>장영대</v>
      </c>
      <c r="L54" s="75" t="str" cm="1">
        <f t="array" ref="L54">_xlfn.IFS(
     AND(L$51 &gt; $O$91, $N$91 = $B54), "",
    L$51 = $E27, $B54,
    L$51 = $F27, $B54,
    L$51 = $G27, $B54,
    L$51 = $H27, $B54,
    WEEKDAY(L$51, 1) = $C67, "",
    WEEKDAY(L$51, 1) = $D67, "",
    L$51 = $E41, "",
    L$51 = $F41, "",
    L$51 = $G41, "",
    L$51 = $H41, "",
    L$51 = $I41, "",
    L$51 = $J41, "",
    L$51 = $K41, "",
    L$51 = $L41, "",
    L$51 = $M41, "",
    L$51 = $N41, "",
    L$51 = $O41, "",
    L$51 = $P41, "",
    L$51 = $Q41, "",
    MONTH(L$51) &lt;&gt; MONTH(DATE($F$2, $H$2, 1)), "",
    TRUE, $B54
)</f>
        <v>장영대</v>
      </c>
      <c r="M54" s="75" t="str" cm="1">
        <f t="array" ref="M54">_xlfn.IFS(
     AND(M$51 &gt; $O$91, $N$91 = $B54), "",
    M$51 = $E27, $B54,
    M$51 = $F27, $B54,
    M$51 = $G27, $B54,
    M$51 = $H27, $B54,
    WEEKDAY(M$51, 1) = $C67, "",
    WEEKDAY(M$51, 1) = $D67, "",
    M$51 = $E41, "",
    M$51 = $F41, "",
    M$51 = $G41, "",
    M$51 = $H41, "",
    M$51 = $I41, "",
    M$51 = $J41, "",
    M$51 = $K41, "",
    M$51 = $L41, "",
    M$51 = $M41, "",
    M$51 = $N41, "",
    M$51 = $O41, "",
    M$51 = $P41, "",
    M$51 = $Q41, "",
    MONTH(M$51) &lt;&gt; MONTH(DATE($F$2, $H$2, 1)), "",
    TRUE, $B54
)</f>
        <v>장영대</v>
      </c>
      <c r="N54" s="75" t="str" cm="1">
        <f t="array" ref="N54">_xlfn.IFS(
     AND(N$51 &gt; $O$91, $N$91 = $B54), "",
    N$51 = $E27, $B54,
    N$51 = $F27, $B54,
    N$51 = $G27, $B54,
    N$51 = $H27, $B54,
    WEEKDAY(N$51, 1) = $C67, "",
    WEEKDAY(N$51, 1) = $D67, "",
    N$51 = $E41, "",
    N$51 = $F41, "",
    N$51 = $G41, "",
    N$51 = $H41, "",
    N$51 = $I41, "",
    N$51 = $J41, "",
    N$51 = $K41, "",
    N$51 = $L41, "",
    N$51 = $M41, "",
    N$51 = $N41, "",
    N$51 = $O41, "",
    N$51 = $P41, "",
    N$51 = $Q41, "",
    MONTH(N$51) &lt;&gt; MONTH(DATE($F$2, $H$2, 1)), "",
    TRUE, $B54
)</f>
        <v/>
      </c>
      <c r="O54" s="75" t="str" cm="1">
        <f t="array" ref="O54">_xlfn.IFS(
     AND(O$51 &gt; $O$91, $N$91 = $B54), "",
    O$51 = $E27, $B54,
    O$51 = $F27, $B54,
    O$51 = $G27, $B54,
    O$51 = $H27, $B54,
    WEEKDAY(O$51, 1) = $C67, "",
    WEEKDAY(O$51, 1) = $D67, "",
    O$51 = $E41, "",
    O$51 = $F41, "",
    O$51 = $G41, "",
    O$51 = $H41, "",
    O$51 = $I41, "",
    O$51 = $J41, "",
    O$51 = $K41, "",
    O$51 = $L41, "",
    O$51 = $M41, "",
    O$51 = $N41, "",
    O$51 = $O41, "",
    O$51 = $P41, "",
    O$51 = $Q41, "",
    MONTH(O$51) &lt;&gt; MONTH(DATE($F$2, $H$2, 1)), "",
    TRUE, $B54
)</f>
        <v/>
      </c>
      <c r="P54" s="75" t="str" cm="1">
        <f t="array" ref="P54">_xlfn.IFS(
     AND(P$51 &gt; $O$91, $N$91 = $B54), "",
    P$51 = $E27, $B54,
    P$51 = $F27, $B54,
    P$51 = $G27, $B54,
    P$51 = $H27, $B54,
    WEEKDAY(P$51, 1) = $C67, "",
    WEEKDAY(P$51, 1) = $D67, "",
    P$51 = $E41, "",
    P$51 = $F41, "",
    P$51 = $G41, "",
    P$51 = $H41, "",
    P$51 = $I41, "",
    P$51 = $J41, "",
    P$51 = $K41, "",
    P$51 = $L41, "",
    P$51 = $M41, "",
    P$51 = $N41, "",
    P$51 = $O41, "",
    P$51 = $P41, "",
    P$51 = $Q41, "",
    MONTH(P$51) &lt;&gt; MONTH(DATE($F$2, $H$2, 1)), "",
    TRUE, $B54
)</f>
        <v/>
      </c>
      <c r="Q54" s="75" t="str" cm="1">
        <f t="array" ref="Q54">_xlfn.IFS(
     AND(Q$51 &gt; $O$91, $N$91 = $B54), "",
    Q$51 = $E27, $B54,
    Q$51 = $F27, $B54,
    Q$51 = $G27, $B54,
    Q$51 = $H27, $B54,
    WEEKDAY(Q$51, 1) = $C67, "",
    WEEKDAY(Q$51, 1) = $D67, "",
    Q$51 = $E41, "",
    Q$51 = $F41, "",
    Q$51 = $G41, "",
    Q$51 = $H41, "",
    Q$51 = $I41, "",
    Q$51 = $J41, "",
    Q$51 = $K41, "",
    Q$51 = $L41, "",
    Q$51 = $M41, "",
    Q$51 = $N41, "",
    Q$51 = $O41, "",
    Q$51 = $P41, "",
    Q$51 = $Q41, "",
    MONTH(Q$51) &lt;&gt; MONTH(DATE($F$2, $H$2, 1)), "",
    TRUE, $B54
)</f>
        <v>장영대</v>
      </c>
      <c r="R54" s="75" t="str" cm="1">
        <f t="array" ref="R54">_xlfn.IFS(
     AND(R$51 &gt; $O$91, $N$91 = $B54), "",
    R$51 = $E27, $B54,
    R$51 = $F27, $B54,
    R$51 = $G27, $B54,
    R$51 = $H27, $B54,
    WEEKDAY(R$51, 1) = $C67, "",
    WEEKDAY(R$51, 1) = $D67, "",
    R$51 = $E41, "",
    R$51 = $F41, "",
    R$51 = $G41, "",
    R$51 = $H41, "",
    R$51 = $I41, "",
    R$51 = $J41, "",
    R$51 = $K41, "",
    R$51 = $L41, "",
    R$51 = $M41, "",
    R$51 = $N41, "",
    R$51 = $O41, "",
    R$51 = $P41, "",
    R$51 = $Q41, "",
    MONTH(R$51) &lt;&gt; MONTH(DATE($F$2, $H$2, 1)), "",
    TRUE, $B54
)</f>
        <v>장영대</v>
      </c>
      <c r="S54" s="75" t="str" cm="1">
        <f t="array" ref="S54">_xlfn.IFS(
     AND(S$51 &gt; $O$91, $N$91 = $B54), "",
    S$51 = $E27, $B54,
    S$51 = $F27, $B54,
    S$51 = $G27, $B54,
    S$51 = $H27, $B54,
    WEEKDAY(S$51, 1) = $C67, "",
    WEEKDAY(S$51, 1) = $D67, "",
    S$51 = $E41, "",
    S$51 = $F41, "",
    S$51 = $G41, "",
    S$51 = $H41, "",
    S$51 = $I41, "",
    S$51 = $J41, "",
    S$51 = $K41, "",
    S$51 = $L41, "",
    S$51 = $M41, "",
    S$51 = $N41, "",
    S$51 = $O41, "",
    S$51 = $P41, "",
    S$51 = $Q41, "",
    MONTH(S$51) &lt;&gt; MONTH(DATE($F$2, $H$2, 1)), "",
    TRUE, $B54
)</f>
        <v>장영대</v>
      </c>
      <c r="T54" s="75" t="str" cm="1">
        <f t="array" ref="T54">_xlfn.IFS(
     AND(T$51 &gt; $O$91, $N$91 = $B54), "",
    T$51 = $E27, $B54,
    T$51 = $F27, $B54,
    T$51 = $G27, $B54,
    T$51 = $H27, $B54,
    WEEKDAY(T$51, 1) = $C67, "",
    WEEKDAY(T$51, 1) = $D67, "",
    T$51 = $E41, "",
    T$51 = $F41, "",
    T$51 = $G41, "",
    T$51 = $H41, "",
    T$51 = $I41, "",
    T$51 = $J41, "",
    T$51 = $K41, "",
    T$51 = $L41, "",
    T$51 = $M41, "",
    T$51 = $N41, "",
    T$51 = $O41, "",
    T$51 = $P41, "",
    T$51 = $Q41, "",
    MONTH(T$51) &lt;&gt; MONTH(DATE($F$2, $H$2, 1)), "",
    TRUE, $B54
)</f>
        <v>장영대</v>
      </c>
      <c r="U54" s="75" t="str" cm="1">
        <f t="array" ref="U54">_xlfn.IFS(
     AND(U$51 &gt; $O$91, $N$91 = $B54), "",
    U$51 = $E27, $B54,
    U$51 = $F27, $B54,
    U$51 = $G27, $B54,
    U$51 = $H27, $B54,
    WEEKDAY(U$51, 1) = $C67, "",
    WEEKDAY(U$51, 1) = $D67, "",
    U$51 = $E41, "",
    U$51 = $F41, "",
    U$51 = $G41, "",
    U$51 = $H41, "",
    U$51 = $I41, "",
    U$51 = $J41, "",
    U$51 = $K41, "",
    U$51 = $L41, "",
    U$51 = $M41, "",
    U$51 = $N41, "",
    U$51 = $O41, "",
    U$51 = $P41, "",
    U$51 = $Q41, "",
    MONTH(U$51) &lt;&gt; MONTH(DATE($F$2, $H$2, 1)), "",
    TRUE, $B54
)</f>
        <v/>
      </c>
      <c r="V54" s="75" t="str" cm="1">
        <f t="array" ref="V54">_xlfn.IFS(
     AND(V$51 &gt; $O$91, $N$91 = $B54), "",
    V$51 = $E27, $B54,
    V$51 = $F27, $B54,
    V$51 = $G27, $B54,
    V$51 = $H27, $B54,
    WEEKDAY(V$51, 1) = $C67, "",
    WEEKDAY(V$51, 1) = $D67, "",
    V$51 = $E41, "",
    V$51 = $F41, "",
    V$51 = $G41, "",
    V$51 = $H41, "",
    V$51 = $I41, "",
    V$51 = $J41, "",
    V$51 = $K41, "",
    V$51 = $L41, "",
    V$51 = $M41, "",
    V$51 = $N41, "",
    V$51 = $O41, "",
    V$51 = $P41, "",
    V$51 = $Q41, "",
    MONTH(V$51) &lt;&gt; MONTH(DATE($F$2, $H$2, 1)), "",
    TRUE, $B54
)</f>
        <v/>
      </c>
      <c r="W54" s="75" t="str" cm="1">
        <f t="array" ref="W54">_xlfn.IFS(
     AND(W$51 &gt; $O$91, $N$91 = $B54), "",
    W$51 = $E27, $B54,
    W$51 = $F27, $B54,
    W$51 = $G27, $B54,
    W$51 = $H27, $B54,
    WEEKDAY(W$51, 1) = $C67, "",
    WEEKDAY(W$51, 1) = $D67, "",
    W$51 = $E41, "",
    W$51 = $F41, "",
    W$51 = $G41, "",
    W$51 = $H41, "",
    W$51 = $I41, "",
    W$51 = $J41, "",
    W$51 = $K41, "",
    W$51 = $L41, "",
    W$51 = $M41, "",
    W$51 = $N41, "",
    W$51 = $O41, "",
    W$51 = $P41, "",
    W$51 = $Q41, "",
    MONTH(W$51) &lt;&gt; MONTH(DATE($F$2, $H$2, 1)), "",
    TRUE, $B54
)</f>
        <v/>
      </c>
      <c r="X54" s="75" t="str" cm="1">
        <f t="array" ref="X54">_xlfn.IFS(
     AND(X$51 &gt; $O$91, $N$91 = $B54), "",
    X$51 = $E27, $B54,
    X$51 = $F27, $B54,
    X$51 = $G27, $B54,
    X$51 = $H27, $B54,
    WEEKDAY(X$51, 1) = $C67, "",
    WEEKDAY(X$51, 1) = $D67, "",
    X$51 = $E41, "",
    X$51 = $F41, "",
    X$51 = $G41, "",
    X$51 = $H41, "",
    X$51 = $I41, "",
    X$51 = $J41, "",
    X$51 = $K41, "",
    X$51 = $L41, "",
    X$51 = $M41, "",
    X$51 = $N41, "",
    X$51 = $O41, "",
    X$51 = $P41, "",
    X$51 = $Q41, "",
    MONTH(X$51) &lt;&gt; MONTH(DATE($F$2, $H$2, 1)), "",
    TRUE, $B54
)</f>
        <v>장영대</v>
      </c>
      <c r="Y54" s="75" t="str" cm="1">
        <f t="array" ref="Y54">_xlfn.IFS(
     AND(Y$51 &gt; $O$91, $N$91 = $B54), "",
    Y$51 = $E27, $B54,
    Y$51 = $F27, $B54,
    Y$51 = $G27, $B54,
    Y$51 = $H27, $B54,
    WEEKDAY(Y$51, 1) = $C67, "",
    WEEKDAY(Y$51, 1) = $D67, "",
    Y$51 = $E41, "",
    Y$51 = $F41, "",
    Y$51 = $G41, "",
    Y$51 = $H41, "",
    Y$51 = $I41, "",
    Y$51 = $J41, "",
    Y$51 = $K41, "",
    Y$51 = $L41, "",
    Y$51 = $M41, "",
    Y$51 = $N41, "",
    Y$51 = $O41, "",
    Y$51 = $P41, "",
    Y$51 = $Q41, "",
    MONTH(Y$51) &lt;&gt; MONTH(DATE($F$2, $H$2, 1)), "",
    TRUE, $B54
)</f>
        <v>장영대</v>
      </c>
      <c r="Z54" s="75" t="str" cm="1">
        <f t="array" ref="Z54">_xlfn.IFS(
     AND(Z$51 &gt; $O$91, $N$91 = $B54), "",
    Z$51 = $E27, $B54,
    Z$51 = $F27, $B54,
    Z$51 = $G27, $B54,
    Z$51 = $H27, $B54,
    WEEKDAY(Z$51, 1) = $C67, "",
    WEEKDAY(Z$51, 1) = $D67, "",
    Z$51 = $E41, "",
    Z$51 = $F41, "",
    Z$51 = $G41, "",
    Z$51 = $H41, "",
    Z$51 = $I41, "",
    Z$51 = $J41, "",
    Z$51 = $K41, "",
    Z$51 = $L41, "",
    Z$51 = $M41, "",
    Z$51 = $N41, "",
    Z$51 = $O41, "",
    Z$51 = $P41, "",
    Z$51 = $Q41, "",
    MONTH(Z$51) &lt;&gt; MONTH(DATE($F$2, $H$2, 1)), "",
    TRUE, $B54
)</f>
        <v>장영대</v>
      </c>
      <c r="AA54" s="75" t="str" cm="1">
        <f t="array" ref="AA54">_xlfn.IFS(
     AND(AA$51 &gt; $O$91, $N$91 = $B54), "",
    AA$51 = $E27, $B54,
    AA$51 = $F27, $B54,
    AA$51 = $G27, $B54,
    AA$51 = $H27, $B54,
    WEEKDAY(AA$51, 1) = $C67, "",
    WEEKDAY(AA$51, 1) = $D67, "",
    AA$51 = $E41, "",
    AA$51 = $F41, "",
    AA$51 = $G41, "",
    AA$51 = $H41, "",
    AA$51 = $I41, "",
    AA$51 = $J41, "",
    AA$51 = $K41, "",
    AA$51 = $L41, "",
    AA$51 = $M41, "",
    AA$51 = $N41, "",
    AA$51 = $O41, "",
    AA$51 = $P41, "",
    AA$51 = $Q41, "",
    MONTH(AA$51) &lt;&gt; MONTH(DATE($F$2, $H$2, 1)), "",
    TRUE, $B54
)</f>
        <v>장영대</v>
      </c>
      <c r="AB54" s="75" t="str" cm="1">
        <f t="array" ref="AB54">_xlfn.IFS(
     AND(AB$51 &gt; $O$91, $N$91 = $B54), "",
    AB$51 = $E27, $B54,
    AB$51 = $F27, $B54,
    AB$51 = $G27, $B54,
    AB$51 = $H27, $B54,
    WEEKDAY(AB$51, 1) = $C67, "",
    WEEKDAY(AB$51, 1) = $D67, "",
    AB$51 = $E41, "",
    AB$51 = $F41, "",
    AB$51 = $G41, "",
    AB$51 = $H41, "",
    AB$51 = $I41, "",
    AB$51 = $J41, "",
    AB$51 = $K41, "",
    AB$51 = $L41, "",
    AB$51 = $M41, "",
    AB$51 = $N41, "",
    AB$51 = $O41, "",
    AB$51 = $P41, "",
    AB$51 = $Q41, "",
    MONTH(AB$51) &lt;&gt; MONTH(DATE($F$2, $H$2, 1)), "",
    TRUE, $B54
)</f>
        <v>장영대</v>
      </c>
      <c r="AC54" s="75" t="str" cm="1">
        <f t="array" ref="AC54">_xlfn.IFS(
     AND(AC$51 &gt; $O$91, $N$91 = $B54), "",
    AC$51 = $E27, $B54,
    AC$51 = $F27, $B54,
    AC$51 = $G27, $B54,
    AC$51 = $H27, $B54,
    WEEKDAY(AC$51, 1) = $C67, "",
    WEEKDAY(AC$51, 1) = $D67, "",
    AC$51 = $E41, "",
    AC$51 = $F41, "",
    AC$51 = $G41, "",
    AC$51 = $H41, "",
    AC$51 = $I41, "",
    AC$51 = $J41, "",
    AC$51 = $K41, "",
    AC$51 = $L41, "",
    AC$51 = $M41, "",
    AC$51 = $N41, "",
    AC$51 = $O41, "",
    AC$51 = $P41, "",
    AC$51 = $Q41, "",
    MONTH(AC$51) &lt;&gt; MONTH(DATE($F$2, $H$2, 1)), "",
    TRUE, $B54
)</f>
        <v/>
      </c>
      <c r="AD54" s="75" t="str" cm="1">
        <f t="array" ref="AD54">_xlfn.IFS(
     AND(AD$51 &gt; $O$91, $N$91 = $B54), "",
    AD$51 = $E27, $B54,
    AD$51 = $F27, $B54,
    AD$51 = $G27, $B54,
    AD$51 = $H27, $B54,
    WEEKDAY(AD$51, 1) = $C67, "",
    WEEKDAY(AD$51, 1) = $D67, "",
    AD$51 = $E41, "",
    AD$51 = $F41, "",
    AD$51 = $G41, "",
    AD$51 = $H41, "",
    AD$51 = $I41, "",
    AD$51 = $J41, "",
    AD$51 = $K41, "",
    AD$51 = $L41, "",
    AD$51 = $M41, "",
    AD$51 = $N41, "",
    AD$51 = $O41, "",
    AD$51 = $P41, "",
    AD$51 = $Q41, "",
    MONTH(AD$51) &lt;&gt; MONTH(DATE($F$2, $H$2, 1)), "",
    TRUE, $B54
)</f>
        <v/>
      </c>
      <c r="AE54" s="75" t="str" cm="1">
        <f t="array" ref="AE54">_xlfn.IFS(
     AND(AE$51 &gt; $O$91, $N$91 = $B54), "",
    AE$51 = $E27, $B54,
    AE$51 = $F27, $B54,
    AE$51 = $G27, $B54,
    AE$51 = $H27, $B54,
    WEEKDAY(AE$51, 1) = $C67, "",
    WEEKDAY(AE$51, 1) = $D67, "",
    AE$51 = $E41, "",
    AE$51 = $F41, "",
    AE$51 = $G41, "",
    AE$51 = $H41, "",
    AE$51 = $I41, "",
    AE$51 = $J41, "",
    AE$51 = $K41, "",
    AE$51 = $L41, "",
    AE$51 = $M41, "",
    AE$51 = $N41, "",
    AE$51 = $O41, "",
    AE$51 = $P41, "",
    AE$51 = $Q41, "",
    MONTH(AE$51) &lt;&gt; MONTH(DATE($F$2, $H$2, 1)), "",
    TRUE, $B54
)</f>
        <v>장영대</v>
      </c>
      <c r="AF54" s="75" t="str" cm="1">
        <f t="array" ref="AF54">_xlfn.IFS(
     AND(AF$51 &gt; $O$91, $N$91 = $B54), "",
    AF$51 = $E27, $B54,
    AF$51 = $F27, $B54,
    AF$51 = $G27, $B54,
    AF$51 = $H27, $B54,
    WEEKDAY(AF$51, 1) = $C67, "",
    WEEKDAY(AF$51, 1) = $D67, "",
    AF$51 = $E41, "",
    AF$51 = $F41, "",
    AF$51 = $G41, "",
    AF$51 = $H41, "",
    AF$51 = $I41, "",
    AF$51 = $J41, "",
    AF$51 = $K41, "",
    AF$51 = $L41, "",
    AF$51 = $M41, "",
    AF$51 = $N41, "",
    AF$51 = $O41, "",
    AF$51 = $P41, "",
    AF$51 = $Q41, "",
    MONTH(AF$51) &lt;&gt; MONTH(DATE($F$2, $H$2, 1)), "",
    TRUE, $B54
)</f>
        <v>장영대</v>
      </c>
      <c r="AG54" s="75" t="str" cm="1">
        <f t="array" ref="AG54">_xlfn.IFS(
     AND(AG$51 &gt; $O$91, $N$91 = $B54), "",
    AG$51 = $E27, $B54,
    AG$51 = $F27, $B54,
    AG$51 = $G27, $B54,
    AG$51 = $H27, $B54,
    WEEKDAY(AG$51, 1) = $C67, "",
    WEEKDAY(AG$51, 1) = $D67, "",
    AG$51 = $E41, "",
    AG$51 = $F41, "",
    AG$51 = $G41, "",
    AG$51 = $H41, "",
    AG$51 = $I41, "",
    AG$51 = $J41, "",
    AG$51 = $K41, "",
    AG$51 = $L41, "",
    AG$51 = $M41, "",
    AG$51 = $N41, "",
    AG$51 = $O41, "",
    AG$51 = $P41, "",
    AG$51 = $Q41, "",
    MONTH(AG$51) &lt;&gt; MONTH(DATE($F$2, $H$2, 1)), "",
    TRUE, $B54
)</f>
        <v>장영대</v>
      </c>
    </row>
    <row r="55" spans="1:33" ht="16.2" hidden="1" customHeight="1" x14ac:dyDescent="0.25">
      <c r="A55" s="9">
        <v>3</v>
      </c>
      <c r="B55" s="2" t="str">
        <f>이름기초!$B$13</f>
        <v>위선옥</v>
      </c>
      <c r="C55" s="75" t="str" cm="1">
        <f t="array" ref="C55">_xlfn.IFS(
     AND(C$51 &gt; $O$91, $N$91 = $B55), "",
    C$51 = $E28, $B55,
    C$51 = $F28, $B55,
    C$51 = $G28, $B55,
    C$51 = $H28, $B55,
    WEEKDAY(C$51, 1) = $C68, "",
    WEEKDAY(C$51, 1) = $D68, "",
    C$51 = $E42, "",
    C$51 = $F42, "",
    C$51 = $G42, "",
    C$51 = $H42, "",
    C$51 = $I42, "",
    C$51 = $J42, "",
    C$51 = $K42, "",
    C$51 = $L42, "",
    C$51 = $M42, "",
    C$51 = $N42, "",
    C$51 = $O42, "",
    C$51 = $P42, "",
    C$51 = $Q42, "",
    MONTH(C$51) &lt;&gt; MONTH(DATE($F$2, $H$2, 1)), "",
    TRUE, $B55
)</f>
        <v>위선옥</v>
      </c>
      <c r="D55" s="75" t="str" cm="1">
        <f t="array" ref="D55">_xlfn.IFS(
     AND(D$51 &gt; $O$91, $N$91 = $B55), "",
    D$51 = $E28, $B55,
    D$51 = $F28, $B55,
    D$51 = $G28, $B55,
    D$51 = $H28, $B55,
    WEEKDAY(D$51, 1) = $C68, "",
    WEEKDAY(D$51, 1) = $D68, "",
    D$51 = $E42, "",
    D$51 = $F42, "",
    D$51 = $G42, "",
    D$51 = $H42, "",
    D$51 = $I42, "",
    D$51 = $J42, "",
    D$51 = $K42, "",
    D$51 = $L42, "",
    D$51 = $M42, "",
    D$51 = $N42, "",
    D$51 = $O42, "",
    D$51 = $P42, "",
    D$51 = $Q42, "",
    MONTH(D$51) &lt;&gt; MONTH(DATE($F$2, $H$2, 1)), "",
    TRUE, $B55
)</f>
        <v>위선옥</v>
      </c>
      <c r="E55" s="75" t="str" cm="1">
        <f t="array" ref="E55">_xlfn.IFS(
     AND(E$51 &gt; $O$91, $N$91 = $B55), "",
    E$51 = $E28, $B55,
    E$51 = $F28, $B55,
    E$51 = $G28, $B55,
    E$51 = $H28, $B55,
    WEEKDAY(E$51, 1) = $C68, "",
    WEEKDAY(E$51, 1) = $D68, "",
    E$51 = $E42, "",
    E$51 = $F42, "",
    E$51 = $G42, "",
    E$51 = $H42, "",
    E$51 = $I42, "",
    E$51 = $J42, "",
    E$51 = $K42, "",
    E$51 = $L42, "",
    E$51 = $M42, "",
    E$51 = $N42, "",
    E$51 = $O42, "",
    E$51 = $P42, "",
    E$51 = $Q42, "",
    MONTH(E$51) &lt;&gt; MONTH(DATE($F$2, $H$2, 1)), "",
    TRUE, $B55
)</f>
        <v>위선옥</v>
      </c>
      <c r="F55" s="75" t="str" cm="1">
        <f t="array" ref="F55">_xlfn.IFS(
     AND(F$51 &gt; $O$91, $N$91 = $B55), "",
    F$51 = $E28, $B55,
    F$51 = $F28, $B55,
    F$51 = $G28, $B55,
    F$51 = $H28, $B55,
    WEEKDAY(F$51, 1) = $C68, "",
    WEEKDAY(F$51, 1) = $D68, "",
    F$51 = $E42, "",
    F$51 = $F42, "",
    F$51 = $G42, "",
    F$51 = $H42, "",
    F$51 = $I42, "",
    F$51 = $J42, "",
    F$51 = $K42, "",
    F$51 = $L42, "",
    F$51 = $M42, "",
    F$51 = $N42, "",
    F$51 = $O42, "",
    F$51 = $P42, "",
    F$51 = $Q42, "",
    MONTH(F$51) &lt;&gt; MONTH(DATE($F$2, $H$2, 1)), "",
    TRUE, $B55
)</f>
        <v/>
      </c>
      <c r="G55" s="75" t="str" cm="1">
        <f t="array" ref="G55">_xlfn.IFS(
     AND(G$51 &gt; $O$91, $N$91 = $B55), "",
    G$51 = $E28, $B55,
    G$51 = $F28, $B55,
    G$51 = $G28, $B55,
    G$51 = $H28, $B55,
    WEEKDAY(G$51, 1) = $C68, "",
    WEEKDAY(G$51, 1) = $D68, "",
    G$51 = $E42, "",
    G$51 = $F42, "",
    G$51 = $G42, "",
    G$51 = $H42, "",
    G$51 = $I42, "",
    G$51 = $J42, "",
    G$51 = $K42, "",
    G$51 = $L42, "",
    G$51 = $M42, "",
    G$51 = $N42, "",
    G$51 = $O42, "",
    G$51 = $P42, "",
    G$51 = $Q42, "",
    MONTH(G$51) &lt;&gt; MONTH(DATE($F$2, $H$2, 1)), "",
    TRUE, $B55
)</f>
        <v/>
      </c>
      <c r="H55" s="75" t="str" cm="1">
        <f t="array" ref="H55">_xlfn.IFS(
     AND(H$51 &gt; $O$91, $N$91 = $B55), "",
    H$51 = $E28, $B55,
    H$51 = $F28, $B55,
    H$51 = $G28, $B55,
    H$51 = $H28, $B55,
    WEEKDAY(H$51, 1) = $C68, "",
    WEEKDAY(H$51, 1) = $D68, "",
    H$51 = $E42, "",
    H$51 = $F42, "",
    H$51 = $G42, "",
    H$51 = $H42, "",
    H$51 = $I42, "",
    H$51 = $J42, "",
    H$51 = $K42, "",
    H$51 = $L42, "",
    H$51 = $M42, "",
    H$51 = $N42, "",
    H$51 = $O42, "",
    H$51 = $P42, "",
    H$51 = $Q42, "",
    MONTH(H$51) &lt;&gt; MONTH(DATE($F$2, $H$2, 1)), "",
    TRUE, $B55
)</f>
        <v/>
      </c>
      <c r="I55" s="75" t="str" cm="1">
        <f t="array" ref="I55">_xlfn.IFS(
     AND(I$51 &gt; $O$91, $N$91 = $B55), "",
    I$51 = $E28, $B55,
    I$51 = $F28, $B55,
    I$51 = $G28, $B55,
    I$51 = $H28, $B55,
    WEEKDAY(I$51, 1) = $C68, "",
    WEEKDAY(I$51, 1) = $D68, "",
    I$51 = $E42, "",
    I$51 = $F42, "",
    I$51 = $G42, "",
    I$51 = $H42, "",
    I$51 = $I42, "",
    I$51 = $J42, "",
    I$51 = $K42, "",
    I$51 = $L42, "",
    I$51 = $M42, "",
    I$51 = $N42, "",
    I$51 = $O42, "",
    I$51 = $P42, "",
    I$51 = $Q42, "",
    MONTH(I$51) &lt;&gt; MONTH(DATE($F$2, $H$2, 1)), "",
    TRUE, $B55
)</f>
        <v>위선옥</v>
      </c>
      <c r="J55" s="75" t="str" cm="1">
        <f t="array" ref="J55">_xlfn.IFS(
     AND(J$51 &gt; $O$91, $N$91 = $B55), "",
    J$51 = $E28, $B55,
    J$51 = $F28, $B55,
    J$51 = $G28, $B55,
    J$51 = $H28, $B55,
    WEEKDAY(J$51, 1) = $C68, "",
    WEEKDAY(J$51, 1) = $D68, "",
    J$51 = $E42, "",
    J$51 = $F42, "",
    J$51 = $G42, "",
    J$51 = $H42, "",
    J$51 = $I42, "",
    J$51 = $J42, "",
    J$51 = $K42, "",
    J$51 = $L42, "",
    J$51 = $M42, "",
    J$51 = $N42, "",
    J$51 = $O42, "",
    J$51 = $P42, "",
    J$51 = $Q42, "",
    MONTH(J$51) &lt;&gt; MONTH(DATE($F$2, $H$2, 1)), "",
    TRUE, $B55
)</f>
        <v>위선옥</v>
      </c>
      <c r="K55" s="75" t="str" cm="1">
        <f t="array" ref="K55">_xlfn.IFS(
     AND(K$51 &gt; $O$91, $N$91 = $B55), "",
    K$51 = $E28, $B55,
    K$51 = $F28, $B55,
    K$51 = $G28, $B55,
    K$51 = $H28, $B55,
    WEEKDAY(K$51, 1) = $C68, "",
    WEEKDAY(K$51, 1) = $D68, "",
    K$51 = $E42, "",
    K$51 = $F42, "",
    K$51 = $G42, "",
    K$51 = $H42, "",
    K$51 = $I42, "",
    K$51 = $J42, "",
    K$51 = $K42, "",
    K$51 = $L42, "",
    K$51 = $M42, "",
    K$51 = $N42, "",
    K$51 = $O42, "",
    K$51 = $P42, "",
    K$51 = $Q42, "",
    MONTH(K$51) &lt;&gt; MONTH(DATE($F$2, $H$2, 1)), "",
    TRUE, $B55
)</f>
        <v>위선옥</v>
      </c>
      <c r="L55" s="75" t="str" cm="1">
        <f t="array" ref="L55">_xlfn.IFS(
     AND(L$51 &gt; $O$91, $N$91 = $B55), "",
    L$51 = $E28, $B55,
    L$51 = $F28, $B55,
    L$51 = $G28, $B55,
    L$51 = $H28, $B55,
    WEEKDAY(L$51, 1) = $C68, "",
    WEEKDAY(L$51, 1) = $D68, "",
    L$51 = $E42, "",
    L$51 = $F42, "",
    L$51 = $G42, "",
    L$51 = $H42, "",
    L$51 = $I42, "",
    L$51 = $J42, "",
    L$51 = $K42, "",
    L$51 = $L42, "",
    L$51 = $M42, "",
    L$51 = $N42, "",
    L$51 = $O42, "",
    L$51 = $P42, "",
    L$51 = $Q42, "",
    MONTH(L$51) &lt;&gt; MONTH(DATE($F$2, $H$2, 1)), "",
    TRUE, $B55
)</f>
        <v/>
      </c>
      <c r="M55" s="75" t="str" cm="1">
        <f t="array" ref="M55">_xlfn.IFS(
     AND(M$51 &gt; $O$91, $N$91 = $B55), "",
    M$51 = $E28, $B55,
    M$51 = $F28, $B55,
    M$51 = $G28, $B55,
    M$51 = $H28, $B55,
    WEEKDAY(M$51, 1) = $C68, "",
    WEEKDAY(M$51, 1) = $D68, "",
    M$51 = $E42, "",
    M$51 = $F42, "",
    M$51 = $G42, "",
    M$51 = $H42, "",
    M$51 = $I42, "",
    M$51 = $J42, "",
    M$51 = $K42, "",
    M$51 = $L42, "",
    M$51 = $M42, "",
    M$51 = $N42, "",
    M$51 = $O42, "",
    M$51 = $P42, "",
    M$51 = $Q42, "",
    MONTH(M$51) &lt;&gt; MONTH(DATE($F$2, $H$2, 1)), "",
    TRUE, $B55
)</f>
        <v/>
      </c>
      <c r="N55" s="75" t="str" cm="1">
        <f t="array" ref="N55">_xlfn.IFS(
     AND(N$51 &gt; $O$91, $N$91 = $B55), "",
    N$51 = $E28, $B55,
    N$51 = $F28, $B55,
    N$51 = $G28, $B55,
    N$51 = $H28, $B55,
    WEEKDAY(N$51, 1) = $C68, "",
    WEEKDAY(N$51, 1) = $D68, "",
    N$51 = $E42, "",
    N$51 = $F42, "",
    N$51 = $G42, "",
    N$51 = $H42, "",
    N$51 = $I42, "",
    N$51 = $J42, "",
    N$51 = $K42, "",
    N$51 = $L42, "",
    N$51 = $M42, "",
    N$51 = $N42, "",
    N$51 = $O42, "",
    N$51 = $P42, "",
    N$51 = $Q42, "",
    MONTH(N$51) &lt;&gt; MONTH(DATE($F$2, $H$2, 1)), "",
    TRUE, $B55
)</f>
        <v/>
      </c>
      <c r="O55" s="75" t="str" cm="1">
        <f t="array" ref="O55">_xlfn.IFS(
     AND(O$51 &gt; $O$91, $N$91 = $B55), "",
    O$51 = $E28, $B55,
    O$51 = $F28, $B55,
    O$51 = $G28, $B55,
    O$51 = $H28, $B55,
    WEEKDAY(O$51, 1) = $C68, "",
    WEEKDAY(O$51, 1) = $D68, "",
    O$51 = $E42, "",
    O$51 = $F42, "",
    O$51 = $G42, "",
    O$51 = $H42, "",
    O$51 = $I42, "",
    O$51 = $J42, "",
    O$51 = $K42, "",
    O$51 = $L42, "",
    O$51 = $M42, "",
    O$51 = $N42, "",
    O$51 = $O42, "",
    O$51 = $P42, "",
    O$51 = $Q42, "",
    MONTH(O$51) &lt;&gt; MONTH(DATE($F$2, $H$2, 1)), "",
    TRUE, $B55
)</f>
        <v/>
      </c>
      <c r="P55" s="75" t="str" cm="1">
        <f t="array" ref="P55">_xlfn.IFS(
     AND(P$51 &gt; $O$91, $N$91 = $B55), "",
    P$51 = $E28, $B55,
    P$51 = $F28, $B55,
    P$51 = $G28, $B55,
    P$51 = $H28, $B55,
    WEEKDAY(P$51, 1) = $C68, "",
    WEEKDAY(P$51, 1) = $D68, "",
    P$51 = $E42, "",
    P$51 = $F42, "",
    P$51 = $G42, "",
    P$51 = $H42, "",
    P$51 = $I42, "",
    P$51 = $J42, "",
    P$51 = $K42, "",
    P$51 = $L42, "",
    P$51 = $M42, "",
    P$51 = $N42, "",
    P$51 = $O42, "",
    P$51 = $P42, "",
    P$51 = $Q42, "",
    MONTH(P$51) &lt;&gt; MONTH(DATE($F$2, $H$2, 1)), "",
    TRUE, $B55
)</f>
        <v/>
      </c>
      <c r="Q55" s="75" t="str" cm="1">
        <f t="array" ref="Q55">_xlfn.IFS(
     AND(Q$51 &gt; $O$91, $N$91 = $B55), "",
    Q$51 = $E28, $B55,
    Q$51 = $F28, $B55,
    Q$51 = $G28, $B55,
    Q$51 = $H28, $B55,
    WEEKDAY(Q$51, 1) = $C68, "",
    WEEKDAY(Q$51, 1) = $D68, "",
    Q$51 = $E42, "",
    Q$51 = $F42, "",
    Q$51 = $G42, "",
    Q$51 = $H42, "",
    Q$51 = $I42, "",
    Q$51 = $J42, "",
    Q$51 = $K42, "",
    Q$51 = $L42, "",
    Q$51 = $M42, "",
    Q$51 = $N42, "",
    Q$51 = $O42, "",
    Q$51 = $P42, "",
    Q$51 = $Q42, "",
    MONTH(Q$51) &lt;&gt; MONTH(DATE($F$2, $H$2, 1)), "",
    TRUE, $B55
)</f>
        <v/>
      </c>
      <c r="R55" s="75" t="str" cm="1">
        <f t="array" ref="R55">_xlfn.IFS(
     AND(R$51 &gt; $O$91, $N$91 = $B55), "",
    R$51 = $E28, $B55,
    R$51 = $F28, $B55,
    R$51 = $G28, $B55,
    R$51 = $H28, $B55,
    WEEKDAY(R$51, 1) = $C68, "",
    WEEKDAY(R$51, 1) = $D68, "",
    R$51 = $E42, "",
    R$51 = $F42, "",
    R$51 = $G42, "",
    R$51 = $H42, "",
    R$51 = $I42, "",
    R$51 = $J42, "",
    R$51 = $K42, "",
    R$51 = $L42, "",
    R$51 = $M42, "",
    R$51 = $N42, "",
    R$51 = $O42, "",
    R$51 = $P42, "",
    R$51 = $Q42, "",
    MONTH(R$51) &lt;&gt; MONTH(DATE($F$2, $H$2, 1)), "",
    TRUE, $B55
)</f>
        <v/>
      </c>
      <c r="S55" s="75" t="str" cm="1">
        <f t="array" ref="S55">_xlfn.IFS(
     AND(S$51 &gt; $O$91, $N$91 = $B55), "",
    S$51 = $E28, $B55,
    S$51 = $F28, $B55,
    S$51 = $G28, $B55,
    S$51 = $H28, $B55,
    WEEKDAY(S$51, 1) = $C68, "",
    WEEKDAY(S$51, 1) = $D68, "",
    S$51 = $E42, "",
    S$51 = $F42, "",
    S$51 = $G42, "",
    S$51 = $H42, "",
    S$51 = $I42, "",
    S$51 = $J42, "",
    S$51 = $K42, "",
    S$51 = $L42, "",
    S$51 = $M42, "",
    S$51 = $N42, "",
    S$51 = $O42, "",
    S$51 = $P42, "",
    S$51 = $Q42, "",
    MONTH(S$51) &lt;&gt; MONTH(DATE($F$2, $H$2, 1)), "",
    TRUE, $B55
)</f>
        <v/>
      </c>
      <c r="T55" s="75" t="str" cm="1">
        <f t="array" ref="T55">_xlfn.IFS(
     AND(T$51 &gt; $O$91, $N$91 = $B55), "",
    T$51 = $E28, $B55,
    T$51 = $F28, $B55,
    T$51 = $G28, $B55,
    T$51 = $H28, $B55,
    WEEKDAY(T$51, 1) = $C68, "",
    WEEKDAY(T$51, 1) = $D68, "",
    T$51 = $E42, "",
    T$51 = $F42, "",
    T$51 = $G42, "",
    T$51 = $H42, "",
    T$51 = $I42, "",
    T$51 = $J42, "",
    T$51 = $K42, "",
    T$51 = $L42, "",
    T$51 = $M42, "",
    T$51 = $N42, "",
    T$51 = $O42, "",
    T$51 = $P42, "",
    T$51 = $Q42, "",
    MONTH(T$51) &lt;&gt; MONTH(DATE($F$2, $H$2, 1)), "",
    TRUE, $B55
)</f>
        <v/>
      </c>
      <c r="U55" s="75" t="str" cm="1">
        <f t="array" ref="U55">_xlfn.IFS(
     AND(U$51 &gt; $O$91, $N$91 = $B55), "",
    U$51 = $E28, $B55,
    U$51 = $F28, $B55,
    U$51 = $G28, $B55,
    U$51 = $H28, $B55,
    WEEKDAY(U$51, 1) = $C68, "",
    WEEKDAY(U$51, 1) = $D68, "",
    U$51 = $E42, "",
    U$51 = $F42, "",
    U$51 = $G42, "",
    U$51 = $H42, "",
    U$51 = $I42, "",
    U$51 = $J42, "",
    U$51 = $K42, "",
    U$51 = $L42, "",
    U$51 = $M42, "",
    U$51 = $N42, "",
    U$51 = $O42, "",
    U$51 = $P42, "",
    U$51 = $Q42, "",
    MONTH(U$51) &lt;&gt; MONTH(DATE($F$2, $H$2, 1)), "",
    TRUE, $B55
)</f>
        <v/>
      </c>
      <c r="V55" s="75" t="str" cm="1">
        <f t="array" ref="V55">_xlfn.IFS(
     AND(V$51 &gt; $O$91, $N$91 = $B55), "",
    V$51 = $E28, $B55,
    V$51 = $F28, $B55,
    V$51 = $G28, $B55,
    V$51 = $H28, $B55,
    WEEKDAY(V$51, 1) = $C68, "",
    WEEKDAY(V$51, 1) = $D68, "",
    V$51 = $E42, "",
    V$51 = $F42, "",
    V$51 = $G42, "",
    V$51 = $H42, "",
    V$51 = $I42, "",
    V$51 = $J42, "",
    V$51 = $K42, "",
    V$51 = $L42, "",
    V$51 = $M42, "",
    V$51 = $N42, "",
    V$51 = $O42, "",
    V$51 = $P42, "",
    V$51 = $Q42, "",
    MONTH(V$51) &lt;&gt; MONTH(DATE($F$2, $H$2, 1)), "",
    TRUE, $B55
)</f>
        <v/>
      </c>
      <c r="W55" s="75" t="str" cm="1">
        <f t="array" ref="W55">_xlfn.IFS(
     AND(W$51 &gt; $O$91, $N$91 = $B55), "",
    W$51 = $E28, $B55,
    W$51 = $F28, $B55,
    W$51 = $G28, $B55,
    W$51 = $H28, $B55,
    WEEKDAY(W$51, 1) = $C68, "",
    WEEKDAY(W$51, 1) = $D68, "",
    W$51 = $E42, "",
    W$51 = $F42, "",
    W$51 = $G42, "",
    W$51 = $H42, "",
    W$51 = $I42, "",
    W$51 = $J42, "",
    W$51 = $K42, "",
    W$51 = $L42, "",
    W$51 = $M42, "",
    W$51 = $N42, "",
    W$51 = $O42, "",
    W$51 = $P42, "",
    W$51 = $Q42, "",
    MONTH(W$51) &lt;&gt; MONTH(DATE($F$2, $H$2, 1)), "",
    TRUE, $B55
)</f>
        <v/>
      </c>
      <c r="X55" s="75" t="str" cm="1">
        <f t="array" ref="X55">_xlfn.IFS(
     AND(X$51 &gt; $O$91, $N$91 = $B55), "",
    X$51 = $E28, $B55,
    X$51 = $F28, $B55,
    X$51 = $G28, $B55,
    X$51 = $H28, $B55,
    WEEKDAY(X$51, 1) = $C68, "",
    WEEKDAY(X$51, 1) = $D68, "",
    X$51 = $E42, "",
    X$51 = $F42, "",
    X$51 = $G42, "",
    X$51 = $H42, "",
    X$51 = $I42, "",
    X$51 = $J42, "",
    X$51 = $K42, "",
    X$51 = $L42, "",
    X$51 = $M42, "",
    X$51 = $N42, "",
    X$51 = $O42, "",
    X$51 = $P42, "",
    X$51 = $Q42, "",
    MONTH(X$51) &lt;&gt; MONTH(DATE($F$2, $H$2, 1)), "",
    TRUE, $B55
)</f>
        <v/>
      </c>
      <c r="Y55" s="75" t="str" cm="1">
        <f t="array" ref="Y55">_xlfn.IFS(
     AND(Y$51 &gt; $O$91, $N$91 = $B55), "",
    Y$51 = $E28, $B55,
    Y$51 = $F28, $B55,
    Y$51 = $G28, $B55,
    Y$51 = $H28, $B55,
    WEEKDAY(Y$51, 1) = $C68, "",
    WEEKDAY(Y$51, 1) = $D68, "",
    Y$51 = $E42, "",
    Y$51 = $F42, "",
    Y$51 = $G42, "",
    Y$51 = $H42, "",
    Y$51 = $I42, "",
    Y$51 = $J42, "",
    Y$51 = $K42, "",
    Y$51 = $L42, "",
    Y$51 = $M42, "",
    Y$51 = $N42, "",
    Y$51 = $O42, "",
    Y$51 = $P42, "",
    Y$51 = $Q42, "",
    MONTH(Y$51) &lt;&gt; MONTH(DATE($F$2, $H$2, 1)), "",
    TRUE, $B55
)</f>
        <v/>
      </c>
      <c r="Z55" s="75" t="str" cm="1">
        <f t="array" ref="Z55">_xlfn.IFS(
     AND(Z$51 &gt; $O$91, $N$91 = $B55), "",
    Z$51 = $E28, $B55,
    Z$51 = $F28, $B55,
    Z$51 = $G28, $B55,
    Z$51 = $H28, $B55,
    WEEKDAY(Z$51, 1) = $C68, "",
    WEEKDAY(Z$51, 1) = $D68, "",
    Z$51 = $E42, "",
    Z$51 = $F42, "",
    Z$51 = $G42, "",
    Z$51 = $H42, "",
    Z$51 = $I42, "",
    Z$51 = $J42, "",
    Z$51 = $K42, "",
    Z$51 = $L42, "",
    Z$51 = $M42, "",
    Z$51 = $N42, "",
    Z$51 = $O42, "",
    Z$51 = $P42, "",
    Z$51 = $Q42, "",
    MONTH(Z$51) &lt;&gt; MONTH(DATE($F$2, $H$2, 1)), "",
    TRUE, $B55
)</f>
        <v/>
      </c>
      <c r="AA55" s="75" t="str" cm="1">
        <f t="array" ref="AA55">_xlfn.IFS(
     AND(AA$51 &gt; $O$91, $N$91 = $B55), "",
    AA$51 = $E28, $B55,
    AA$51 = $F28, $B55,
    AA$51 = $G28, $B55,
    AA$51 = $H28, $B55,
    WEEKDAY(AA$51, 1) = $C68, "",
    WEEKDAY(AA$51, 1) = $D68, "",
    AA$51 = $E42, "",
    AA$51 = $F42, "",
    AA$51 = $G42, "",
    AA$51 = $H42, "",
    AA$51 = $I42, "",
    AA$51 = $J42, "",
    AA$51 = $K42, "",
    AA$51 = $L42, "",
    AA$51 = $M42, "",
    AA$51 = $N42, "",
    AA$51 = $O42, "",
    AA$51 = $P42, "",
    AA$51 = $Q42, "",
    MONTH(AA$51) &lt;&gt; MONTH(DATE($F$2, $H$2, 1)), "",
    TRUE, $B55
)</f>
        <v/>
      </c>
      <c r="AB55" s="75" t="str" cm="1">
        <f t="array" ref="AB55">_xlfn.IFS(
     AND(AB$51 &gt; $O$91, $N$91 = $B55), "",
    AB$51 = $E28, $B55,
    AB$51 = $F28, $B55,
    AB$51 = $G28, $B55,
    AB$51 = $H28, $B55,
    WEEKDAY(AB$51, 1) = $C68, "",
    WEEKDAY(AB$51, 1) = $D68, "",
    AB$51 = $E42, "",
    AB$51 = $F42, "",
    AB$51 = $G42, "",
    AB$51 = $H42, "",
    AB$51 = $I42, "",
    AB$51 = $J42, "",
    AB$51 = $K42, "",
    AB$51 = $L42, "",
    AB$51 = $M42, "",
    AB$51 = $N42, "",
    AB$51 = $O42, "",
    AB$51 = $P42, "",
    AB$51 = $Q42, "",
    MONTH(AB$51) &lt;&gt; MONTH(DATE($F$2, $H$2, 1)), "",
    TRUE, $B55
)</f>
        <v/>
      </c>
      <c r="AC55" s="75" t="str" cm="1">
        <f t="array" ref="AC55">_xlfn.IFS(
     AND(AC$51 &gt; $O$91, $N$91 = $B55), "",
    AC$51 = $E28, $B55,
    AC$51 = $F28, $B55,
    AC$51 = $G28, $B55,
    AC$51 = $H28, $B55,
    WEEKDAY(AC$51, 1) = $C68, "",
    WEEKDAY(AC$51, 1) = $D68, "",
    AC$51 = $E42, "",
    AC$51 = $F42, "",
    AC$51 = $G42, "",
    AC$51 = $H42, "",
    AC$51 = $I42, "",
    AC$51 = $J42, "",
    AC$51 = $K42, "",
    AC$51 = $L42, "",
    AC$51 = $M42, "",
    AC$51 = $N42, "",
    AC$51 = $O42, "",
    AC$51 = $P42, "",
    AC$51 = $Q42, "",
    MONTH(AC$51) &lt;&gt; MONTH(DATE($F$2, $H$2, 1)), "",
    TRUE, $B55
)</f>
        <v/>
      </c>
      <c r="AD55" s="75" t="str" cm="1">
        <f t="array" ref="AD55">_xlfn.IFS(
     AND(AD$51 &gt; $O$91, $N$91 = $B55), "",
    AD$51 = $E28, $B55,
    AD$51 = $F28, $B55,
    AD$51 = $G28, $B55,
    AD$51 = $H28, $B55,
    WEEKDAY(AD$51, 1) = $C68, "",
    WEEKDAY(AD$51, 1) = $D68, "",
    AD$51 = $E42, "",
    AD$51 = $F42, "",
    AD$51 = $G42, "",
    AD$51 = $H42, "",
    AD$51 = $I42, "",
    AD$51 = $J42, "",
    AD$51 = $K42, "",
    AD$51 = $L42, "",
    AD$51 = $M42, "",
    AD$51 = $N42, "",
    AD$51 = $O42, "",
    AD$51 = $P42, "",
    AD$51 = $Q42, "",
    MONTH(AD$51) &lt;&gt; MONTH(DATE($F$2, $H$2, 1)), "",
    TRUE, $B55
)</f>
        <v/>
      </c>
      <c r="AE55" s="75" t="str" cm="1">
        <f t="array" ref="AE55">_xlfn.IFS(
     AND(AE$51 &gt; $O$91, $N$91 = $B55), "",
    AE$51 = $E28, $B55,
    AE$51 = $F28, $B55,
    AE$51 = $G28, $B55,
    AE$51 = $H28, $B55,
    WEEKDAY(AE$51, 1) = $C68, "",
    WEEKDAY(AE$51, 1) = $D68, "",
    AE$51 = $E42, "",
    AE$51 = $F42, "",
    AE$51 = $G42, "",
    AE$51 = $H42, "",
    AE$51 = $I42, "",
    AE$51 = $J42, "",
    AE$51 = $K42, "",
    AE$51 = $L42, "",
    AE$51 = $M42, "",
    AE$51 = $N42, "",
    AE$51 = $O42, "",
    AE$51 = $P42, "",
    AE$51 = $Q42, "",
    MONTH(AE$51) &lt;&gt; MONTH(DATE($F$2, $H$2, 1)), "",
    TRUE, $B55
)</f>
        <v/>
      </c>
      <c r="AF55" s="75" t="str" cm="1">
        <f t="array" ref="AF55">_xlfn.IFS(
     AND(AF$51 &gt; $O$91, $N$91 = $B55), "",
    AF$51 = $E28, $B55,
    AF$51 = $F28, $B55,
    AF$51 = $G28, $B55,
    AF$51 = $H28, $B55,
    WEEKDAY(AF$51, 1) = $C68, "",
    WEEKDAY(AF$51, 1) = $D68, "",
    AF$51 = $E42, "",
    AF$51 = $F42, "",
    AF$51 = $G42, "",
    AF$51 = $H42, "",
    AF$51 = $I42, "",
    AF$51 = $J42, "",
    AF$51 = $K42, "",
    AF$51 = $L42, "",
    AF$51 = $M42, "",
    AF$51 = $N42, "",
    AF$51 = $O42, "",
    AF$51 = $P42, "",
    AF$51 = $Q42, "",
    MONTH(AF$51) &lt;&gt; MONTH(DATE($F$2, $H$2, 1)), "",
    TRUE, $B55
)</f>
        <v/>
      </c>
      <c r="AG55" s="75" t="str" cm="1">
        <f t="array" ref="AG55">_xlfn.IFS(
     AND(AG$51 &gt; $O$91, $N$91 = $B55), "",
    AG$51 = $E28, $B55,
    AG$51 = $F28, $B55,
    AG$51 = $G28, $B55,
    AG$51 = $H28, $B55,
    WEEKDAY(AG$51, 1) = $C68, "",
    WEEKDAY(AG$51, 1) = $D68, "",
    AG$51 = $E42, "",
    AG$51 = $F42, "",
    AG$51 = $G42, "",
    AG$51 = $H42, "",
    AG$51 = $I42, "",
    AG$51 = $J42, "",
    AG$51 = $K42, "",
    AG$51 = $L42, "",
    AG$51 = $M42, "",
    AG$51 = $N42, "",
    AG$51 = $O42, "",
    AG$51 = $P42, "",
    AG$51 = $Q42, "",
    MONTH(AG$51) &lt;&gt; MONTH(DATE($F$2, $H$2, 1)), "",
    TRUE, $B55
)</f>
        <v/>
      </c>
    </row>
    <row r="56" spans="1:33" ht="16.2" hidden="1" customHeight="1" x14ac:dyDescent="0.25">
      <c r="A56" s="9">
        <v>4</v>
      </c>
      <c r="B56" s="2" t="str">
        <f>이름기초!$B$14</f>
        <v>오광웅</v>
      </c>
      <c r="C56" s="75" t="str" cm="1">
        <f t="array" ref="C56">_xlfn.IFS(
     AND(C$51 &gt; $O$91, $N$91 = $B56), "",
    C$51 = $E29, $B56,
    C$51 = $F29, $B56,
    C$51 = $G29, $B56,
    C$51 = $H29, $B56,
    WEEKDAY(C$51, 1) = $C69, "",
    WEEKDAY(C$51, 1) = $D69, "",
    C$51 = $E43, "",
    C$51 = $F43, "",
    C$51 = $G43, "",
    C$51 = $H43, "",
    C$51 = $I43, "",
    C$51 = $J43, "",
    C$51 = $K43, "",
    C$51 = $L43, "",
    C$51 = $M43, "",
    C$51 = $N43, "",
    C$51 = $O43, "",
    C$51 = $P43, "",
    C$51 = $Q43, "",
    MONTH(C$51) &lt;&gt; MONTH(DATE($F$2, $H$2, 1)), "",
    TRUE, $B56
)</f>
        <v/>
      </c>
      <c r="D56" s="75" t="str" cm="1">
        <f t="array" ref="D56">_xlfn.IFS(
     AND(D$51 &gt; $O$91, $N$91 = $B56), "",
    D$51 = $E29, $B56,
    D$51 = $F29, $B56,
    D$51 = $G29, $B56,
    D$51 = $H29, $B56,
    WEEKDAY(D$51, 1) = $C69, "",
    WEEKDAY(D$51, 1) = $D69, "",
    D$51 = $E43, "",
    D$51 = $F43, "",
    D$51 = $G43, "",
    D$51 = $H43, "",
    D$51 = $I43, "",
    D$51 = $J43, "",
    D$51 = $K43, "",
    D$51 = $L43, "",
    D$51 = $M43, "",
    D$51 = $N43, "",
    D$51 = $O43, "",
    D$51 = $P43, "",
    D$51 = $Q43, "",
    MONTH(D$51) &lt;&gt; MONTH(DATE($F$2, $H$2, 1)), "",
    TRUE, $B56
)</f>
        <v/>
      </c>
      <c r="E56" s="75" t="str" cm="1">
        <f t="array" ref="E56">_xlfn.IFS(
     AND(E$51 &gt; $O$91, $N$91 = $B56), "",
    E$51 = $E29, $B56,
    E$51 = $F29, $B56,
    E$51 = $G29, $B56,
    E$51 = $H29, $B56,
    WEEKDAY(E$51, 1) = $C69, "",
    WEEKDAY(E$51, 1) = $D69, "",
    E$51 = $E43, "",
    E$51 = $F43, "",
    E$51 = $G43, "",
    E$51 = $H43, "",
    E$51 = $I43, "",
    E$51 = $J43, "",
    E$51 = $K43, "",
    E$51 = $L43, "",
    E$51 = $M43, "",
    E$51 = $N43, "",
    E$51 = $O43, "",
    E$51 = $P43, "",
    E$51 = $Q43, "",
    MONTH(E$51) &lt;&gt; MONTH(DATE($F$2, $H$2, 1)), "",
    TRUE, $B56
)</f>
        <v/>
      </c>
      <c r="F56" s="75" t="str" cm="1">
        <f t="array" ref="F56">_xlfn.IFS(
     AND(F$51 &gt; $O$91, $N$91 = $B56), "",
    F$51 = $E29, $B56,
    F$51 = $F29, $B56,
    F$51 = $G29, $B56,
    F$51 = $H29, $B56,
    WEEKDAY(F$51, 1) = $C69, "",
    WEEKDAY(F$51, 1) = $D69, "",
    F$51 = $E43, "",
    F$51 = $F43, "",
    F$51 = $G43, "",
    F$51 = $H43, "",
    F$51 = $I43, "",
    F$51 = $J43, "",
    F$51 = $K43, "",
    F$51 = $L43, "",
    F$51 = $M43, "",
    F$51 = $N43, "",
    F$51 = $O43, "",
    F$51 = $P43, "",
    F$51 = $Q43, "",
    MONTH(F$51) &lt;&gt; MONTH(DATE($F$2, $H$2, 1)), "",
    TRUE, $B56
)</f>
        <v>오광웅</v>
      </c>
      <c r="G56" s="75" t="str" cm="1">
        <f t="array" ref="G56">_xlfn.IFS(
     AND(G$51 &gt; $O$91, $N$91 = $B56), "",
    G$51 = $E29, $B56,
    G$51 = $F29, $B56,
    G$51 = $G29, $B56,
    G$51 = $H29, $B56,
    WEEKDAY(G$51, 1) = $C69, "",
    WEEKDAY(G$51, 1) = $D69, "",
    G$51 = $E43, "",
    G$51 = $F43, "",
    G$51 = $G43, "",
    G$51 = $H43, "",
    G$51 = $I43, "",
    G$51 = $J43, "",
    G$51 = $K43, "",
    G$51 = $L43, "",
    G$51 = $M43, "",
    G$51 = $N43, "",
    G$51 = $O43, "",
    G$51 = $P43, "",
    G$51 = $Q43, "",
    MONTH(G$51) &lt;&gt; MONTH(DATE($F$2, $H$2, 1)), "",
    TRUE, $B56
)</f>
        <v>오광웅</v>
      </c>
      <c r="H56" s="75" t="str" cm="1">
        <f t="array" ref="H56">_xlfn.IFS(
     AND(H$51 &gt; $O$91, $N$91 = $B56), "",
    H$51 = $E29, $B56,
    H$51 = $F29, $B56,
    H$51 = $G29, $B56,
    H$51 = $H29, $B56,
    WEEKDAY(H$51, 1) = $C69, "",
    WEEKDAY(H$51, 1) = $D69, "",
    H$51 = $E43, "",
    H$51 = $F43, "",
    H$51 = $G43, "",
    H$51 = $H43, "",
    H$51 = $I43, "",
    H$51 = $J43, "",
    H$51 = $K43, "",
    H$51 = $L43, "",
    H$51 = $M43, "",
    H$51 = $N43, "",
    H$51 = $O43, "",
    H$51 = $P43, "",
    H$51 = $Q43, "",
    MONTH(H$51) &lt;&gt; MONTH(DATE($F$2, $H$2, 1)), "",
    TRUE, $B56
)</f>
        <v>오광웅</v>
      </c>
      <c r="I56" s="75" t="str" cm="1">
        <f t="array" ref="I56">_xlfn.IFS(
     AND(I$51 &gt; $O$91, $N$91 = $B56), "",
    I$51 = $E29, $B56,
    I$51 = $F29, $B56,
    I$51 = $G29, $B56,
    I$51 = $H29, $B56,
    WEEKDAY(I$51, 1) = $C69, "",
    WEEKDAY(I$51, 1) = $D69, "",
    I$51 = $E43, "",
    I$51 = $F43, "",
    I$51 = $G43, "",
    I$51 = $H43, "",
    I$51 = $I43, "",
    I$51 = $J43, "",
    I$51 = $K43, "",
    I$51 = $L43, "",
    I$51 = $M43, "",
    I$51 = $N43, "",
    I$51 = $O43, "",
    I$51 = $P43, "",
    I$51 = $Q43, "",
    MONTH(I$51) &lt;&gt; MONTH(DATE($F$2, $H$2, 1)), "",
    TRUE, $B56
)</f>
        <v>오광웅</v>
      </c>
      <c r="J56" s="75" t="str" cm="1">
        <f t="array" ref="J56">_xlfn.IFS(
     AND(J$51 &gt; $O$91, $N$91 = $B56), "",
    J$51 = $E29, $B56,
    J$51 = $F29, $B56,
    J$51 = $G29, $B56,
    J$51 = $H29, $B56,
    WEEKDAY(J$51, 1) = $C69, "",
    WEEKDAY(J$51, 1) = $D69, "",
    J$51 = $E43, "",
    J$51 = $F43, "",
    J$51 = $G43, "",
    J$51 = $H43, "",
    J$51 = $I43, "",
    J$51 = $J43, "",
    J$51 = $K43, "",
    J$51 = $L43, "",
    J$51 = $M43, "",
    J$51 = $N43, "",
    J$51 = $O43, "",
    J$51 = $P43, "",
    J$51 = $Q43, "",
    MONTH(J$51) &lt;&gt; MONTH(DATE($F$2, $H$2, 1)), "",
    TRUE, $B56
)</f>
        <v>오광웅</v>
      </c>
      <c r="K56" s="75" t="str" cm="1">
        <f t="array" ref="K56">_xlfn.IFS(
     AND(K$51 &gt; $O$91, $N$91 = $B56), "",
    K$51 = $E29, $B56,
    K$51 = $F29, $B56,
    K$51 = $G29, $B56,
    K$51 = $H29, $B56,
    WEEKDAY(K$51, 1) = $C69, "",
    WEEKDAY(K$51, 1) = $D69, "",
    K$51 = $E43, "",
    K$51 = $F43, "",
    K$51 = $G43, "",
    K$51 = $H43, "",
    K$51 = $I43, "",
    K$51 = $J43, "",
    K$51 = $K43, "",
    K$51 = $L43, "",
    K$51 = $M43, "",
    K$51 = $N43, "",
    K$51 = $O43, "",
    K$51 = $P43, "",
    K$51 = $Q43, "",
    MONTH(K$51) &lt;&gt; MONTH(DATE($F$2, $H$2, 1)), "",
    TRUE, $B56
)</f>
        <v/>
      </c>
      <c r="L56" s="75" t="str" cm="1">
        <f t="array" ref="L56">_xlfn.IFS(
     AND(L$51 &gt; $O$91, $N$91 = $B56), "",
    L$51 = $E29, $B56,
    L$51 = $F29, $B56,
    L$51 = $G29, $B56,
    L$51 = $H29, $B56,
    WEEKDAY(L$51, 1) = $C69, "",
    WEEKDAY(L$51, 1) = $D69, "",
    L$51 = $E43, "",
    L$51 = $F43, "",
    L$51 = $G43, "",
    L$51 = $H43, "",
    L$51 = $I43, "",
    L$51 = $J43, "",
    L$51 = $K43, "",
    L$51 = $L43, "",
    L$51 = $M43, "",
    L$51 = $N43, "",
    L$51 = $O43, "",
    L$51 = $P43, "",
    L$51 = $Q43, "",
    MONTH(L$51) &lt;&gt; MONTH(DATE($F$2, $H$2, 1)), "",
    TRUE, $B56
)</f>
        <v/>
      </c>
      <c r="M56" s="75" t="str" cm="1">
        <f t="array" ref="M56">_xlfn.IFS(
     AND(M$51 &gt; $O$91, $N$91 = $B56), "",
    M$51 = $E29, $B56,
    M$51 = $F29, $B56,
    M$51 = $G29, $B56,
    M$51 = $H29, $B56,
    WEEKDAY(M$51, 1) = $C69, "",
    WEEKDAY(M$51, 1) = $D69, "",
    M$51 = $E43, "",
    M$51 = $F43, "",
    M$51 = $G43, "",
    M$51 = $H43, "",
    M$51 = $I43, "",
    M$51 = $J43, "",
    M$51 = $K43, "",
    M$51 = $L43, "",
    M$51 = $M43, "",
    M$51 = $N43, "",
    M$51 = $O43, "",
    M$51 = $P43, "",
    M$51 = $Q43, "",
    MONTH(M$51) &lt;&gt; MONTH(DATE($F$2, $H$2, 1)), "",
    TRUE, $B56
)</f>
        <v>오광웅</v>
      </c>
      <c r="N56" s="75" t="str" cm="1">
        <f t="array" ref="N56">_xlfn.IFS(
     AND(N$51 &gt; $O$91, $N$91 = $B56), "",
    N$51 = $E29, $B56,
    N$51 = $F29, $B56,
    N$51 = $G29, $B56,
    N$51 = $H29, $B56,
    WEEKDAY(N$51, 1) = $C69, "",
    WEEKDAY(N$51, 1) = $D69, "",
    N$51 = $E43, "",
    N$51 = $F43, "",
    N$51 = $G43, "",
    N$51 = $H43, "",
    N$51 = $I43, "",
    N$51 = $J43, "",
    N$51 = $K43, "",
    N$51 = $L43, "",
    N$51 = $M43, "",
    N$51 = $N43, "",
    N$51 = $O43, "",
    N$51 = $P43, "",
    N$51 = $Q43, "",
    MONTH(N$51) &lt;&gt; MONTH(DATE($F$2, $H$2, 1)), "",
    TRUE, $B56
)</f>
        <v>오광웅</v>
      </c>
      <c r="O56" s="75" t="str" cm="1">
        <f t="array" ref="O56">_xlfn.IFS(
     AND(O$51 &gt; $O$91, $N$91 = $B56), "",
    O$51 = $E29, $B56,
    O$51 = $F29, $B56,
    O$51 = $G29, $B56,
    O$51 = $H29, $B56,
    WEEKDAY(O$51, 1) = $C69, "",
    WEEKDAY(O$51, 1) = $D69, "",
    O$51 = $E43, "",
    O$51 = $F43, "",
    O$51 = $G43, "",
    O$51 = $H43, "",
    O$51 = $I43, "",
    O$51 = $J43, "",
    O$51 = $K43, "",
    O$51 = $L43, "",
    O$51 = $M43, "",
    O$51 = $N43, "",
    O$51 = $O43, "",
    O$51 = $P43, "",
    O$51 = $Q43, "",
    MONTH(O$51) &lt;&gt; MONTH(DATE($F$2, $H$2, 1)), "",
    TRUE, $B56
)</f>
        <v>오광웅</v>
      </c>
      <c r="P56" s="75" t="str" cm="1">
        <f t="array" ref="P56">_xlfn.IFS(
     AND(P$51 &gt; $O$91, $N$91 = $B56), "",
    P$51 = $E29, $B56,
    P$51 = $F29, $B56,
    P$51 = $G29, $B56,
    P$51 = $H29, $B56,
    WEEKDAY(P$51, 1) = $C69, "",
    WEEKDAY(P$51, 1) = $D69, "",
    P$51 = $E43, "",
    P$51 = $F43, "",
    P$51 = $G43, "",
    P$51 = $H43, "",
    P$51 = $I43, "",
    P$51 = $J43, "",
    P$51 = $K43, "",
    P$51 = $L43, "",
    P$51 = $M43, "",
    P$51 = $N43, "",
    P$51 = $O43, "",
    P$51 = $P43, "",
    P$51 = $Q43, "",
    MONTH(P$51) &lt;&gt; MONTH(DATE($F$2, $H$2, 1)), "",
    TRUE, $B56
)</f>
        <v>오광웅</v>
      </c>
      <c r="Q56" s="75" t="str" cm="1">
        <f t="array" ref="Q56">_xlfn.IFS(
     AND(Q$51 &gt; $O$91, $N$91 = $B56), "",
    Q$51 = $E29, $B56,
    Q$51 = $F29, $B56,
    Q$51 = $G29, $B56,
    Q$51 = $H29, $B56,
    WEEKDAY(Q$51, 1) = $C69, "",
    WEEKDAY(Q$51, 1) = $D69, "",
    Q$51 = $E43, "",
    Q$51 = $F43, "",
    Q$51 = $G43, "",
    Q$51 = $H43, "",
    Q$51 = $I43, "",
    Q$51 = $J43, "",
    Q$51 = $K43, "",
    Q$51 = $L43, "",
    Q$51 = $M43, "",
    Q$51 = $N43, "",
    Q$51 = $O43, "",
    Q$51 = $P43, "",
    Q$51 = $Q43, "",
    MONTH(Q$51) &lt;&gt; MONTH(DATE($F$2, $H$2, 1)), "",
    TRUE, $B56
)</f>
        <v>오광웅</v>
      </c>
      <c r="R56" s="75" t="str" cm="1">
        <f t="array" ref="R56">_xlfn.IFS(
     AND(R$51 &gt; $O$91, $N$91 = $B56), "",
    R$51 = $E29, $B56,
    R$51 = $F29, $B56,
    R$51 = $G29, $B56,
    R$51 = $H29, $B56,
    WEEKDAY(R$51, 1) = $C69, "",
    WEEKDAY(R$51, 1) = $D69, "",
    R$51 = $E43, "",
    R$51 = $F43, "",
    R$51 = $G43, "",
    R$51 = $H43, "",
    R$51 = $I43, "",
    R$51 = $J43, "",
    R$51 = $K43, "",
    R$51 = $L43, "",
    R$51 = $M43, "",
    R$51 = $N43, "",
    R$51 = $O43, "",
    R$51 = $P43, "",
    R$51 = $Q43, "",
    MONTH(R$51) &lt;&gt; MONTH(DATE($F$2, $H$2, 1)), "",
    TRUE, $B56
)</f>
        <v/>
      </c>
      <c r="S56" s="75" t="str" cm="1">
        <f t="array" ref="S56">_xlfn.IFS(
     AND(S$51 &gt; $O$91, $N$91 = $B56), "",
    S$51 = $E29, $B56,
    S$51 = $F29, $B56,
    S$51 = $G29, $B56,
    S$51 = $H29, $B56,
    WEEKDAY(S$51, 1) = $C69, "",
    WEEKDAY(S$51, 1) = $D69, "",
    S$51 = $E43, "",
    S$51 = $F43, "",
    S$51 = $G43, "",
    S$51 = $H43, "",
    S$51 = $I43, "",
    S$51 = $J43, "",
    S$51 = $K43, "",
    S$51 = $L43, "",
    S$51 = $M43, "",
    S$51 = $N43, "",
    S$51 = $O43, "",
    S$51 = $P43, "",
    S$51 = $Q43, "",
    MONTH(S$51) &lt;&gt; MONTH(DATE($F$2, $H$2, 1)), "",
    TRUE, $B56
)</f>
        <v>오광웅</v>
      </c>
      <c r="T56" s="75" t="str" cm="1">
        <f t="array" ref="T56">_xlfn.IFS(
     AND(T$51 &gt; $O$91, $N$91 = $B56), "",
    T$51 = $E29, $B56,
    T$51 = $F29, $B56,
    T$51 = $G29, $B56,
    T$51 = $H29, $B56,
    WEEKDAY(T$51, 1) = $C69, "",
    WEEKDAY(T$51, 1) = $D69, "",
    T$51 = $E43, "",
    T$51 = $F43, "",
    T$51 = $G43, "",
    T$51 = $H43, "",
    T$51 = $I43, "",
    T$51 = $J43, "",
    T$51 = $K43, "",
    T$51 = $L43, "",
    T$51 = $M43, "",
    T$51 = $N43, "",
    T$51 = $O43, "",
    T$51 = $P43, "",
    T$51 = $Q43, "",
    MONTH(T$51) &lt;&gt; MONTH(DATE($F$2, $H$2, 1)), "",
    TRUE, $B56
)</f>
        <v/>
      </c>
      <c r="U56" s="75" t="str" cm="1">
        <f t="array" ref="U56">_xlfn.IFS(
     AND(U$51 &gt; $O$91, $N$91 = $B56), "",
    U$51 = $E29, $B56,
    U$51 = $F29, $B56,
    U$51 = $G29, $B56,
    U$51 = $H29, $B56,
    WEEKDAY(U$51, 1) = $C69, "",
    WEEKDAY(U$51, 1) = $D69, "",
    U$51 = $E43, "",
    U$51 = $F43, "",
    U$51 = $G43, "",
    U$51 = $H43, "",
    U$51 = $I43, "",
    U$51 = $J43, "",
    U$51 = $K43, "",
    U$51 = $L43, "",
    U$51 = $M43, "",
    U$51 = $N43, "",
    U$51 = $O43, "",
    U$51 = $P43, "",
    U$51 = $Q43, "",
    MONTH(U$51) &lt;&gt; MONTH(DATE($F$2, $H$2, 1)), "",
    TRUE, $B56
)</f>
        <v/>
      </c>
      <c r="V56" s="75" t="str" cm="1">
        <f t="array" ref="V56">_xlfn.IFS(
     AND(V$51 &gt; $O$91, $N$91 = $B56), "",
    V$51 = $E29, $B56,
    V$51 = $F29, $B56,
    V$51 = $G29, $B56,
    V$51 = $H29, $B56,
    WEEKDAY(V$51, 1) = $C69, "",
    WEEKDAY(V$51, 1) = $D69, "",
    V$51 = $E43, "",
    V$51 = $F43, "",
    V$51 = $G43, "",
    V$51 = $H43, "",
    V$51 = $I43, "",
    V$51 = $J43, "",
    V$51 = $K43, "",
    V$51 = $L43, "",
    V$51 = $M43, "",
    V$51 = $N43, "",
    V$51 = $O43, "",
    V$51 = $P43, "",
    V$51 = $Q43, "",
    MONTH(V$51) &lt;&gt; MONTH(DATE($F$2, $H$2, 1)), "",
    TRUE, $B56
)</f>
        <v>오광웅</v>
      </c>
      <c r="W56" s="75" t="str" cm="1">
        <f t="array" ref="W56">_xlfn.IFS(
     AND(W$51 &gt; $O$91, $N$91 = $B56), "",
    W$51 = $E29, $B56,
    W$51 = $F29, $B56,
    W$51 = $G29, $B56,
    W$51 = $H29, $B56,
    WEEKDAY(W$51, 1) = $C69, "",
    WEEKDAY(W$51, 1) = $D69, "",
    W$51 = $E43, "",
    W$51 = $F43, "",
    W$51 = $G43, "",
    W$51 = $H43, "",
    W$51 = $I43, "",
    W$51 = $J43, "",
    W$51 = $K43, "",
    W$51 = $L43, "",
    W$51 = $M43, "",
    W$51 = $N43, "",
    W$51 = $O43, "",
    W$51 = $P43, "",
    W$51 = $Q43, "",
    MONTH(W$51) &lt;&gt; MONTH(DATE($F$2, $H$2, 1)), "",
    TRUE, $B56
)</f>
        <v>오광웅</v>
      </c>
      <c r="X56" s="75" t="str" cm="1">
        <f t="array" ref="X56">_xlfn.IFS(
     AND(X$51 &gt; $O$91, $N$91 = $B56), "",
    X$51 = $E29, $B56,
    X$51 = $F29, $B56,
    X$51 = $G29, $B56,
    X$51 = $H29, $B56,
    WEEKDAY(X$51, 1) = $C69, "",
    WEEKDAY(X$51, 1) = $D69, "",
    X$51 = $E43, "",
    X$51 = $F43, "",
    X$51 = $G43, "",
    X$51 = $H43, "",
    X$51 = $I43, "",
    X$51 = $J43, "",
    X$51 = $K43, "",
    X$51 = $L43, "",
    X$51 = $M43, "",
    X$51 = $N43, "",
    X$51 = $O43, "",
    X$51 = $P43, "",
    X$51 = $Q43, "",
    MONTH(X$51) &lt;&gt; MONTH(DATE($F$2, $H$2, 1)), "",
    TRUE, $B56
)</f>
        <v>오광웅</v>
      </c>
      <c r="Y56" s="75" t="str" cm="1">
        <f t="array" ref="Y56">_xlfn.IFS(
     AND(Y$51 &gt; $O$91, $N$91 = $B56), "",
    Y$51 = $E29, $B56,
    Y$51 = $F29, $B56,
    Y$51 = $G29, $B56,
    Y$51 = $H29, $B56,
    WEEKDAY(Y$51, 1) = $C69, "",
    WEEKDAY(Y$51, 1) = $D69, "",
    Y$51 = $E43, "",
    Y$51 = $F43, "",
    Y$51 = $G43, "",
    Y$51 = $H43, "",
    Y$51 = $I43, "",
    Y$51 = $J43, "",
    Y$51 = $K43, "",
    Y$51 = $L43, "",
    Y$51 = $M43, "",
    Y$51 = $N43, "",
    Y$51 = $O43, "",
    Y$51 = $P43, "",
    Y$51 = $Q43, "",
    MONTH(Y$51) &lt;&gt; MONTH(DATE($F$2, $H$2, 1)), "",
    TRUE, $B56
)</f>
        <v/>
      </c>
      <c r="Z56" s="75" t="str" cm="1">
        <f t="array" ref="Z56">_xlfn.IFS(
     AND(Z$51 &gt; $O$91, $N$91 = $B56), "",
    Z$51 = $E29, $B56,
    Z$51 = $F29, $B56,
    Z$51 = $G29, $B56,
    Z$51 = $H29, $B56,
    WEEKDAY(Z$51, 1) = $C69, "",
    WEEKDAY(Z$51, 1) = $D69, "",
    Z$51 = $E43, "",
    Z$51 = $F43, "",
    Z$51 = $G43, "",
    Z$51 = $H43, "",
    Z$51 = $I43, "",
    Z$51 = $J43, "",
    Z$51 = $K43, "",
    Z$51 = $L43, "",
    Z$51 = $M43, "",
    Z$51 = $N43, "",
    Z$51 = $O43, "",
    Z$51 = $P43, "",
    Z$51 = $Q43, "",
    MONTH(Z$51) &lt;&gt; MONTH(DATE($F$2, $H$2, 1)), "",
    TRUE, $B56
)</f>
        <v/>
      </c>
      <c r="AA56" s="75" t="str" cm="1">
        <f t="array" ref="AA56">_xlfn.IFS(
     AND(AA$51 &gt; $O$91, $N$91 = $B56), "",
    AA$51 = $E29, $B56,
    AA$51 = $F29, $B56,
    AA$51 = $G29, $B56,
    AA$51 = $H29, $B56,
    WEEKDAY(AA$51, 1) = $C69, "",
    WEEKDAY(AA$51, 1) = $D69, "",
    AA$51 = $E43, "",
    AA$51 = $F43, "",
    AA$51 = $G43, "",
    AA$51 = $H43, "",
    AA$51 = $I43, "",
    AA$51 = $J43, "",
    AA$51 = $K43, "",
    AA$51 = $L43, "",
    AA$51 = $M43, "",
    AA$51 = $N43, "",
    AA$51 = $O43, "",
    AA$51 = $P43, "",
    AA$51 = $Q43, "",
    MONTH(AA$51) &lt;&gt; MONTH(DATE($F$2, $H$2, 1)), "",
    TRUE, $B56
)</f>
        <v>오광웅</v>
      </c>
      <c r="AB56" s="75" t="str" cm="1">
        <f t="array" ref="AB56">_xlfn.IFS(
     AND(AB$51 &gt; $O$91, $N$91 = $B56), "",
    AB$51 = $E29, $B56,
    AB$51 = $F29, $B56,
    AB$51 = $G29, $B56,
    AB$51 = $H29, $B56,
    WEEKDAY(AB$51, 1) = $C69, "",
    WEEKDAY(AB$51, 1) = $D69, "",
    AB$51 = $E43, "",
    AB$51 = $F43, "",
    AB$51 = $G43, "",
    AB$51 = $H43, "",
    AB$51 = $I43, "",
    AB$51 = $J43, "",
    AB$51 = $K43, "",
    AB$51 = $L43, "",
    AB$51 = $M43, "",
    AB$51 = $N43, "",
    AB$51 = $O43, "",
    AB$51 = $P43, "",
    AB$51 = $Q43, "",
    MONTH(AB$51) &lt;&gt; MONTH(DATE($F$2, $H$2, 1)), "",
    TRUE, $B56
)</f>
        <v>오광웅</v>
      </c>
      <c r="AC56" s="75" t="str" cm="1">
        <f t="array" ref="AC56">_xlfn.IFS(
     AND(AC$51 &gt; $O$91, $N$91 = $B56), "",
    AC$51 = $E29, $B56,
    AC$51 = $F29, $B56,
    AC$51 = $G29, $B56,
    AC$51 = $H29, $B56,
    WEEKDAY(AC$51, 1) = $C69, "",
    WEEKDAY(AC$51, 1) = $D69, "",
    AC$51 = $E43, "",
    AC$51 = $F43, "",
    AC$51 = $G43, "",
    AC$51 = $H43, "",
    AC$51 = $I43, "",
    AC$51 = $J43, "",
    AC$51 = $K43, "",
    AC$51 = $L43, "",
    AC$51 = $M43, "",
    AC$51 = $N43, "",
    AC$51 = $O43, "",
    AC$51 = $P43, "",
    AC$51 = $Q43, "",
    MONTH(AC$51) &lt;&gt; MONTH(DATE($F$2, $H$2, 1)), "",
    TRUE, $B56
)</f>
        <v>오광웅</v>
      </c>
      <c r="AD56" s="75" t="str" cm="1">
        <f t="array" ref="AD56">_xlfn.IFS(
     AND(AD$51 &gt; $O$91, $N$91 = $B56), "",
    AD$51 = $E29, $B56,
    AD$51 = $F29, $B56,
    AD$51 = $G29, $B56,
    AD$51 = $H29, $B56,
    WEEKDAY(AD$51, 1) = $C69, "",
    WEEKDAY(AD$51, 1) = $D69, "",
    AD$51 = $E43, "",
    AD$51 = $F43, "",
    AD$51 = $G43, "",
    AD$51 = $H43, "",
    AD$51 = $I43, "",
    AD$51 = $J43, "",
    AD$51 = $K43, "",
    AD$51 = $L43, "",
    AD$51 = $M43, "",
    AD$51 = $N43, "",
    AD$51 = $O43, "",
    AD$51 = $P43, "",
    AD$51 = $Q43, "",
    MONTH(AD$51) &lt;&gt; MONTH(DATE($F$2, $H$2, 1)), "",
    TRUE, $B56
)</f>
        <v>오광웅</v>
      </c>
      <c r="AE56" s="75" t="str" cm="1">
        <f t="array" ref="AE56">_xlfn.IFS(
     AND(AE$51 &gt; $O$91, $N$91 = $B56), "",
    AE$51 = $E29, $B56,
    AE$51 = $F29, $B56,
    AE$51 = $G29, $B56,
    AE$51 = $H29, $B56,
    WEEKDAY(AE$51, 1) = $C69, "",
    WEEKDAY(AE$51, 1) = $D69, "",
    AE$51 = $E43, "",
    AE$51 = $F43, "",
    AE$51 = $G43, "",
    AE$51 = $H43, "",
    AE$51 = $I43, "",
    AE$51 = $J43, "",
    AE$51 = $K43, "",
    AE$51 = $L43, "",
    AE$51 = $M43, "",
    AE$51 = $N43, "",
    AE$51 = $O43, "",
    AE$51 = $P43, "",
    AE$51 = $Q43, "",
    MONTH(AE$51) &lt;&gt; MONTH(DATE($F$2, $H$2, 1)), "",
    TRUE, $B56
)</f>
        <v/>
      </c>
      <c r="AF56" s="75" t="str" cm="1">
        <f t="array" ref="AF56">_xlfn.IFS(
     AND(AF$51 &gt; $O$91, $N$91 = $B56), "",
    AF$51 = $E29, $B56,
    AF$51 = $F29, $B56,
    AF$51 = $G29, $B56,
    AF$51 = $H29, $B56,
    WEEKDAY(AF$51, 1) = $C69, "",
    WEEKDAY(AF$51, 1) = $D69, "",
    AF$51 = $E43, "",
    AF$51 = $F43, "",
    AF$51 = $G43, "",
    AF$51 = $H43, "",
    AF$51 = $I43, "",
    AF$51 = $J43, "",
    AF$51 = $K43, "",
    AF$51 = $L43, "",
    AF$51 = $M43, "",
    AF$51 = $N43, "",
    AF$51 = $O43, "",
    AF$51 = $P43, "",
    AF$51 = $Q43, "",
    MONTH(AF$51) &lt;&gt; MONTH(DATE($F$2, $H$2, 1)), "",
    TRUE, $B56
)</f>
        <v/>
      </c>
      <c r="AG56" s="75" t="str" cm="1">
        <f t="array" ref="AG56">_xlfn.IFS(
     AND(AG$51 &gt; $O$91, $N$91 = $B56), "",
    AG$51 = $E29, $B56,
    AG$51 = $F29, $B56,
    AG$51 = $G29, $B56,
    AG$51 = $H29, $B56,
    WEEKDAY(AG$51, 1) = $C69, "",
    WEEKDAY(AG$51, 1) = $D69, "",
    AG$51 = $E43, "",
    AG$51 = $F43, "",
    AG$51 = $G43, "",
    AG$51 = $H43, "",
    AG$51 = $I43, "",
    AG$51 = $J43, "",
    AG$51 = $K43, "",
    AG$51 = $L43, "",
    AG$51 = $M43, "",
    AG$51 = $N43, "",
    AG$51 = $O43, "",
    AG$51 = $P43, "",
    AG$51 = $Q43, "",
    MONTH(AG$51) &lt;&gt; MONTH(DATE($F$2, $H$2, 1)), "",
    TRUE, $B56
)</f>
        <v/>
      </c>
    </row>
    <row r="57" spans="1:33" ht="16.2" hidden="1" customHeight="1" x14ac:dyDescent="0.25">
      <c r="A57" s="9">
        <v>5</v>
      </c>
      <c r="B57" s="2" t="str">
        <f>이름기초!$B$15</f>
        <v>안성용</v>
      </c>
      <c r="C57" s="75" t="str" cm="1">
        <f t="array" ref="C57">_xlfn.IFS(
     AND(C$51 &gt; $O$91, $N$91 = $B57), "",
    C$51 = $E30, $B57,
    C$51 = $F30, $B57,
    C$51 = $G30, $B57,
    C$51 = $H30, $B57,
    WEEKDAY(C$51, 1) = $C70, "",
    WEEKDAY(C$51, 1) = $D70, "",
    C$51 = $E44, "",
    C$51 = $F44, "",
    C$51 = $G44, "",
    C$51 = $H44, "",
    C$51 = $I44, "",
    C$51 = $J44, "",
    C$51 = $K44, "",
    C$51 = $L44, "",
    C$51 = $M44, "",
    C$51 = $N44, "",
    C$51 = $O44, "",
    C$51 = $P44, "",
    C$51 = $Q44, "",
    MONTH(C$51) &lt;&gt; MONTH(DATE($F$2, $H$2, 1)), "",
    TRUE, $B57
)</f>
        <v/>
      </c>
      <c r="D57" s="75" t="str" cm="1">
        <f t="array" ref="D57">_xlfn.IFS(
     AND(D$51 &gt; $O$91, $N$91 = $B57), "",
    D$51 = $E30, $B57,
    D$51 = $F30, $B57,
    D$51 = $G30, $B57,
    D$51 = $H30, $B57,
    WEEKDAY(D$51, 1) = $C70, "",
    WEEKDAY(D$51, 1) = $D70, "",
    D$51 = $E44, "",
    D$51 = $F44, "",
    D$51 = $G44, "",
    D$51 = $H44, "",
    D$51 = $I44, "",
    D$51 = $J44, "",
    D$51 = $K44, "",
    D$51 = $L44, "",
    D$51 = $M44, "",
    D$51 = $N44, "",
    D$51 = $O44, "",
    D$51 = $P44, "",
    D$51 = $Q44, "",
    MONTH(D$51) &lt;&gt; MONTH(DATE($F$2, $H$2, 1)), "",
    TRUE, $B57
)</f>
        <v/>
      </c>
      <c r="E57" s="75" t="str" cm="1">
        <f t="array" ref="E57">_xlfn.IFS(
     AND(E$51 &gt; $O$91, $N$91 = $B57), "",
    E$51 = $E30, $B57,
    E$51 = $F30, $B57,
    E$51 = $G30, $B57,
    E$51 = $H30, $B57,
    WEEKDAY(E$51, 1) = $C70, "",
    WEEKDAY(E$51, 1) = $D70, "",
    E$51 = $E44, "",
    E$51 = $F44, "",
    E$51 = $G44, "",
    E$51 = $H44, "",
    E$51 = $I44, "",
    E$51 = $J44, "",
    E$51 = $K44, "",
    E$51 = $L44, "",
    E$51 = $M44, "",
    E$51 = $N44, "",
    E$51 = $O44, "",
    E$51 = $P44, "",
    E$51 = $Q44, "",
    MONTH(E$51) &lt;&gt; MONTH(DATE($F$2, $H$2, 1)), "",
    TRUE, $B57
)</f>
        <v>안성용</v>
      </c>
      <c r="F57" s="75" t="str" cm="1">
        <f t="array" ref="F57">_xlfn.IFS(
     AND(F$51 &gt; $O$91, $N$91 = $B57), "",
    F$51 = $E30, $B57,
    F$51 = $F30, $B57,
    F$51 = $G30, $B57,
    F$51 = $H30, $B57,
    WEEKDAY(F$51, 1) = $C70, "",
    WEEKDAY(F$51, 1) = $D70, "",
    F$51 = $E44, "",
    F$51 = $F44, "",
    F$51 = $G44, "",
    F$51 = $H44, "",
    F$51 = $I44, "",
    F$51 = $J44, "",
    F$51 = $K44, "",
    F$51 = $L44, "",
    F$51 = $M44, "",
    F$51 = $N44, "",
    F$51 = $O44, "",
    F$51 = $P44, "",
    F$51 = $Q44, "",
    MONTH(F$51) &lt;&gt; MONTH(DATE($F$2, $H$2, 1)), "",
    TRUE, $B57
)</f>
        <v>안성용</v>
      </c>
      <c r="G57" s="75" t="str" cm="1">
        <f t="array" ref="G57">_xlfn.IFS(
     AND(G$51 &gt; $O$91, $N$91 = $B57), "",
    G$51 = $E30, $B57,
    G$51 = $F30, $B57,
    G$51 = $G30, $B57,
    G$51 = $H30, $B57,
    WEEKDAY(G$51, 1) = $C70, "",
    WEEKDAY(G$51, 1) = $D70, "",
    G$51 = $E44, "",
    G$51 = $F44, "",
    G$51 = $G44, "",
    G$51 = $H44, "",
    G$51 = $I44, "",
    G$51 = $J44, "",
    G$51 = $K44, "",
    G$51 = $L44, "",
    G$51 = $M44, "",
    G$51 = $N44, "",
    G$51 = $O44, "",
    G$51 = $P44, "",
    G$51 = $Q44, "",
    MONTH(G$51) &lt;&gt; MONTH(DATE($F$2, $H$2, 1)), "",
    TRUE, $B57
)</f>
        <v>안성용</v>
      </c>
      <c r="H57" s="75" t="str" cm="1">
        <f t="array" ref="H57">_xlfn.IFS(
     AND(H$51 &gt; $O$91, $N$91 = $B57), "",
    H$51 = $E30, $B57,
    H$51 = $F30, $B57,
    H$51 = $G30, $B57,
    H$51 = $H30, $B57,
    WEEKDAY(H$51, 1) = $C70, "",
    WEEKDAY(H$51, 1) = $D70, "",
    H$51 = $E44, "",
    H$51 = $F44, "",
    H$51 = $G44, "",
    H$51 = $H44, "",
    H$51 = $I44, "",
    H$51 = $J44, "",
    H$51 = $K44, "",
    H$51 = $L44, "",
    H$51 = $M44, "",
    H$51 = $N44, "",
    H$51 = $O44, "",
    H$51 = $P44, "",
    H$51 = $Q44, "",
    MONTH(H$51) &lt;&gt; MONTH(DATE($F$2, $H$2, 1)), "",
    TRUE, $B57
)</f>
        <v>안성용</v>
      </c>
      <c r="I57" s="75" t="str" cm="1">
        <f t="array" ref="I57">_xlfn.IFS(
     AND(I$51 &gt; $O$91, $N$91 = $B57), "",
    I$51 = $E30, $B57,
    I$51 = $F30, $B57,
    I$51 = $G30, $B57,
    I$51 = $H30, $B57,
    WEEKDAY(I$51, 1) = $C70, "",
    WEEKDAY(I$51, 1) = $D70, "",
    I$51 = $E44, "",
    I$51 = $F44, "",
    I$51 = $G44, "",
    I$51 = $H44, "",
    I$51 = $I44, "",
    I$51 = $J44, "",
    I$51 = $K44, "",
    I$51 = $L44, "",
    I$51 = $M44, "",
    I$51 = $N44, "",
    I$51 = $O44, "",
    I$51 = $P44, "",
    I$51 = $Q44, "",
    MONTH(I$51) &lt;&gt; MONTH(DATE($F$2, $H$2, 1)), "",
    TRUE, $B57
)</f>
        <v/>
      </c>
      <c r="J57" s="75" t="str" cm="1">
        <f t="array" ref="J57">_xlfn.IFS(
     AND(J$51 &gt; $O$91, $N$91 = $B57), "",
    J$51 = $E30, $B57,
    J$51 = $F30, $B57,
    J$51 = $G30, $B57,
    J$51 = $H30, $B57,
    WEEKDAY(J$51, 1) = $C70, "",
    WEEKDAY(J$51, 1) = $D70, "",
    J$51 = $E44, "",
    J$51 = $F44, "",
    J$51 = $G44, "",
    J$51 = $H44, "",
    J$51 = $I44, "",
    J$51 = $J44, "",
    J$51 = $K44, "",
    J$51 = $L44, "",
    J$51 = $M44, "",
    J$51 = $N44, "",
    J$51 = $O44, "",
    J$51 = $P44, "",
    J$51 = $Q44, "",
    MONTH(J$51) &lt;&gt; MONTH(DATE($F$2, $H$2, 1)), "",
    TRUE, $B57
)</f>
        <v/>
      </c>
      <c r="K57" s="75" t="str" cm="1">
        <f t="array" ref="K57">_xlfn.IFS(
     AND(K$51 &gt; $O$91, $N$91 = $B57), "",
    K$51 = $E30, $B57,
    K$51 = $F30, $B57,
    K$51 = $G30, $B57,
    K$51 = $H30, $B57,
    WEEKDAY(K$51, 1) = $C70, "",
    WEEKDAY(K$51, 1) = $D70, "",
    K$51 = $E44, "",
    K$51 = $F44, "",
    K$51 = $G44, "",
    K$51 = $H44, "",
    K$51 = $I44, "",
    K$51 = $J44, "",
    K$51 = $K44, "",
    K$51 = $L44, "",
    K$51 = $M44, "",
    K$51 = $N44, "",
    K$51 = $O44, "",
    K$51 = $P44, "",
    K$51 = $Q44, "",
    MONTH(K$51) &lt;&gt; MONTH(DATE($F$2, $H$2, 1)), "",
    TRUE, $B57
)</f>
        <v/>
      </c>
      <c r="L57" s="75" t="str" cm="1">
        <f t="array" ref="L57">_xlfn.IFS(
     AND(L$51 &gt; $O$91, $N$91 = $B57), "",
    L$51 = $E30, $B57,
    L$51 = $F30, $B57,
    L$51 = $G30, $B57,
    L$51 = $H30, $B57,
    WEEKDAY(L$51, 1) = $C70, "",
    WEEKDAY(L$51, 1) = $D70, "",
    L$51 = $E44, "",
    L$51 = $F44, "",
    L$51 = $G44, "",
    L$51 = $H44, "",
    L$51 = $I44, "",
    L$51 = $J44, "",
    L$51 = $K44, "",
    L$51 = $L44, "",
    L$51 = $M44, "",
    L$51 = $N44, "",
    L$51 = $O44, "",
    L$51 = $P44, "",
    L$51 = $Q44, "",
    MONTH(L$51) &lt;&gt; MONTH(DATE($F$2, $H$2, 1)), "",
    TRUE, $B57
)</f>
        <v>안성용</v>
      </c>
      <c r="M57" s="75" t="str" cm="1">
        <f t="array" ref="M57">_xlfn.IFS(
     AND(M$51 &gt; $O$91, $N$91 = $B57), "",
    M$51 = $E30, $B57,
    M$51 = $F30, $B57,
    M$51 = $G30, $B57,
    M$51 = $H30, $B57,
    WEEKDAY(M$51, 1) = $C70, "",
    WEEKDAY(M$51, 1) = $D70, "",
    M$51 = $E44, "",
    M$51 = $F44, "",
    M$51 = $G44, "",
    M$51 = $H44, "",
    M$51 = $I44, "",
    M$51 = $J44, "",
    M$51 = $K44, "",
    M$51 = $L44, "",
    M$51 = $M44, "",
    M$51 = $N44, "",
    M$51 = $O44, "",
    M$51 = $P44, "",
    M$51 = $Q44, "",
    MONTH(M$51) &lt;&gt; MONTH(DATE($F$2, $H$2, 1)), "",
    TRUE, $B57
)</f>
        <v>안성용</v>
      </c>
      <c r="N57" s="75" t="str" cm="1">
        <f t="array" ref="N57">_xlfn.IFS(
     AND(N$51 &gt; $O$91, $N$91 = $B57), "",
    N$51 = $E30, $B57,
    N$51 = $F30, $B57,
    N$51 = $G30, $B57,
    N$51 = $H30, $B57,
    WEEKDAY(N$51, 1) = $C70, "",
    WEEKDAY(N$51, 1) = $D70, "",
    N$51 = $E44, "",
    N$51 = $F44, "",
    N$51 = $G44, "",
    N$51 = $H44, "",
    N$51 = $I44, "",
    N$51 = $J44, "",
    N$51 = $K44, "",
    N$51 = $L44, "",
    N$51 = $M44, "",
    N$51 = $N44, "",
    N$51 = $O44, "",
    N$51 = $P44, "",
    N$51 = $Q44, "",
    MONTH(N$51) &lt;&gt; MONTH(DATE($F$2, $H$2, 1)), "",
    TRUE, $B57
)</f>
        <v>안성용</v>
      </c>
      <c r="O57" s="75" t="str" cm="1">
        <f t="array" ref="O57">_xlfn.IFS(
     AND(O$51 &gt; $O$91, $N$91 = $B57), "",
    O$51 = $E30, $B57,
    O$51 = $F30, $B57,
    O$51 = $G30, $B57,
    O$51 = $H30, $B57,
    WEEKDAY(O$51, 1) = $C70, "",
    WEEKDAY(O$51, 1) = $D70, "",
    O$51 = $E44, "",
    O$51 = $F44, "",
    O$51 = $G44, "",
    O$51 = $H44, "",
    O$51 = $I44, "",
    O$51 = $J44, "",
    O$51 = $K44, "",
    O$51 = $L44, "",
    O$51 = $M44, "",
    O$51 = $N44, "",
    O$51 = $O44, "",
    O$51 = $P44, "",
    O$51 = $Q44, "",
    MONTH(O$51) &lt;&gt; MONTH(DATE($F$2, $H$2, 1)), "",
    TRUE, $B57
)</f>
        <v>안성용</v>
      </c>
      <c r="P57" s="75" t="str" cm="1">
        <f t="array" ref="P57">_xlfn.IFS(
     AND(P$51 &gt; $O$91, $N$91 = $B57), "",
    P$51 = $E30, $B57,
    P$51 = $F30, $B57,
    P$51 = $G30, $B57,
    P$51 = $H30, $B57,
    WEEKDAY(P$51, 1) = $C70, "",
    WEEKDAY(P$51, 1) = $D70, "",
    P$51 = $E44, "",
    P$51 = $F44, "",
    P$51 = $G44, "",
    P$51 = $H44, "",
    P$51 = $I44, "",
    P$51 = $J44, "",
    P$51 = $K44, "",
    P$51 = $L44, "",
    P$51 = $M44, "",
    P$51 = $N44, "",
    P$51 = $O44, "",
    P$51 = $P44, "",
    P$51 = $Q44, "",
    MONTH(P$51) &lt;&gt; MONTH(DATE($F$2, $H$2, 1)), "",
    TRUE, $B57
)</f>
        <v>안성용</v>
      </c>
      <c r="Q57" s="75" t="str" cm="1">
        <f t="array" ref="Q57">_xlfn.IFS(
     AND(Q$51 &gt; $O$91, $N$91 = $B57), "",
    Q$51 = $E30, $B57,
    Q$51 = $F30, $B57,
    Q$51 = $G30, $B57,
    Q$51 = $H30, $B57,
    WEEKDAY(Q$51, 1) = $C70, "",
    WEEKDAY(Q$51, 1) = $D70, "",
    Q$51 = $E44, "",
    Q$51 = $F44, "",
    Q$51 = $G44, "",
    Q$51 = $H44, "",
    Q$51 = $I44, "",
    Q$51 = $J44, "",
    Q$51 = $K44, "",
    Q$51 = $L44, "",
    Q$51 = $M44, "",
    Q$51 = $N44, "",
    Q$51 = $O44, "",
    Q$51 = $P44, "",
    Q$51 = $Q44, "",
    MONTH(Q$51) &lt;&gt; MONTH(DATE($F$2, $H$2, 1)), "",
    TRUE, $B57
)</f>
        <v/>
      </c>
      <c r="R57" s="75" t="str" cm="1">
        <f t="array" ref="R57">_xlfn.IFS(
     AND(R$51 &gt; $O$91, $N$91 = $B57), "",
    R$51 = $E30, $B57,
    R$51 = $F30, $B57,
    R$51 = $G30, $B57,
    R$51 = $H30, $B57,
    WEEKDAY(R$51, 1) = $C70, "",
    WEEKDAY(R$51, 1) = $D70, "",
    R$51 = $E44, "",
    R$51 = $F44, "",
    R$51 = $G44, "",
    R$51 = $H44, "",
    R$51 = $I44, "",
    R$51 = $J44, "",
    R$51 = $K44, "",
    R$51 = $L44, "",
    R$51 = $M44, "",
    R$51 = $N44, "",
    R$51 = $O44, "",
    R$51 = $P44, "",
    R$51 = $Q44, "",
    MONTH(R$51) &lt;&gt; MONTH(DATE($F$2, $H$2, 1)), "",
    TRUE, $B57
)</f>
        <v/>
      </c>
      <c r="S57" s="75" t="str" cm="1">
        <f t="array" ref="S57">_xlfn.IFS(
     AND(S$51 &gt; $O$91, $N$91 = $B57), "",
    S$51 = $E30, $B57,
    S$51 = $F30, $B57,
    S$51 = $G30, $B57,
    S$51 = $H30, $B57,
    WEEKDAY(S$51, 1) = $C70, "",
    WEEKDAY(S$51, 1) = $D70, "",
    S$51 = $E44, "",
    S$51 = $F44, "",
    S$51 = $G44, "",
    S$51 = $H44, "",
    S$51 = $I44, "",
    S$51 = $J44, "",
    S$51 = $K44, "",
    S$51 = $L44, "",
    S$51 = $M44, "",
    S$51 = $N44, "",
    S$51 = $O44, "",
    S$51 = $P44, "",
    S$51 = $Q44, "",
    MONTH(S$51) &lt;&gt; MONTH(DATE($F$2, $H$2, 1)), "",
    TRUE, $B57
)</f>
        <v>안성용</v>
      </c>
      <c r="T57" s="75" t="str" cm="1">
        <f t="array" ref="T57">_xlfn.IFS(
     AND(T$51 &gt; $O$91, $N$91 = $B57), "",
    T$51 = $E30, $B57,
    T$51 = $F30, $B57,
    T$51 = $G30, $B57,
    T$51 = $H30, $B57,
    WEEKDAY(T$51, 1) = $C70, "",
    WEEKDAY(T$51, 1) = $D70, "",
    T$51 = $E44, "",
    T$51 = $F44, "",
    T$51 = $G44, "",
    T$51 = $H44, "",
    T$51 = $I44, "",
    T$51 = $J44, "",
    T$51 = $K44, "",
    T$51 = $L44, "",
    T$51 = $M44, "",
    T$51 = $N44, "",
    T$51 = $O44, "",
    T$51 = $P44, "",
    T$51 = $Q44, "",
    MONTH(T$51) &lt;&gt; MONTH(DATE($F$2, $H$2, 1)), "",
    TRUE, $B57
)</f>
        <v>안성용</v>
      </c>
      <c r="U57" s="75" t="str" cm="1">
        <f t="array" ref="U57">_xlfn.IFS(
     AND(U$51 &gt; $O$91, $N$91 = $B57), "",
    U$51 = $E30, $B57,
    U$51 = $F30, $B57,
    U$51 = $G30, $B57,
    U$51 = $H30, $B57,
    WEEKDAY(U$51, 1) = $C70, "",
    WEEKDAY(U$51, 1) = $D70, "",
    U$51 = $E44, "",
    U$51 = $F44, "",
    U$51 = $G44, "",
    U$51 = $H44, "",
    U$51 = $I44, "",
    U$51 = $J44, "",
    U$51 = $K44, "",
    U$51 = $L44, "",
    U$51 = $M44, "",
    U$51 = $N44, "",
    U$51 = $O44, "",
    U$51 = $P44, "",
    U$51 = $Q44, "",
    MONTH(U$51) &lt;&gt; MONTH(DATE($F$2, $H$2, 1)), "",
    TRUE, $B57
)</f>
        <v>안성용</v>
      </c>
      <c r="V57" s="75" t="str" cm="1">
        <f t="array" ref="V57">_xlfn.IFS(
     AND(V$51 &gt; $O$91, $N$91 = $B57), "",
    V$51 = $E30, $B57,
    V$51 = $F30, $B57,
    V$51 = $G30, $B57,
    V$51 = $H30, $B57,
    WEEKDAY(V$51, 1) = $C70, "",
    WEEKDAY(V$51, 1) = $D70, "",
    V$51 = $E44, "",
    V$51 = $F44, "",
    V$51 = $G44, "",
    V$51 = $H44, "",
    V$51 = $I44, "",
    V$51 = $J44, "",
    V$51 = $K44, "",
    V$51 = $L44, "",
    V$51 = $M44, "",
    V$51 = $N44, "",
    V$51 = $O44, "",
    V$51 = $P44, "",
    V$51 = $Q44, "",
    MONTH(V$51) &lt;&gt; MONTH(DATE($F$2, $H$2, 1)), "",
    TRUE, $B57
)</f>
        <v>안성용</v>
      </c>
      <c r="W57" s="75" t="str" cm="1">
        <f t="array" ref="W57">_xlfn.IFS(
     AND(W$51 &gt; $O$91, $N$91 = $B57), "",
    W$51 = $E30, $B57,
    W$51 = $F30, $B57,
    W$51 = $G30, $B57,
    W$51 = $H30, $B57,
    WEEKDAY(W$51, 1) = $C70, "",
    WEEKDAY(W$51, 1) = $D70, "",
    W$51 = $E44, "",
    W$51 = $F44, "",
    W$51 = $G44, "",
    W$51 = $H44, "",
    W$51 = $I44, "",
    W$51 = $J44, "",
    W$51 = $K44, "",
    W$51 = $L44, "",
    W$51 = $M44, "",
    W$51 = $N44, "",
    W$51 = $O44, "",
    W$51 = $P44, "",
    W$51 = $Q44, "",
    MONTH(W$51) &lt;&gt; MONTH(DATE($F$2, $H$2, 1)), "",
    TRUE, $B57
)</f>
        <v>안성용</v>
      </c>
      <c r="X57" s="75" t="str" cm="1">
        <f t="array" ref="X57">_xlfn.IFS(
     AND(X$51 &gt; $O$91, $N$91 = $B57), "",
    X$51 = $E30, $B57,
    X$51 = $F30, $B57,
    X$51 = $G30, $B57,
    X$51 = $H30, $B57,
    WEEKDAY(X$51, 1) = $C70, "",
    WEEKDAY(X$51, 1) = $D70, "",
    X$51 = $E44, "",
    X$51 = $F44, "",
    X$51 = $G44, "",
    X$51 = $H44, "",
    X$51 = $I44, "",
    X$51 = $J44, "",
    X$51 = $K44, "",
    X$51 = $L44, "",
    X$51 = $M44, "",
    X$51 = $N44, "",
    X$51 = $O44, "",
    X$51 = $P44, "",
    X$51 = $Q44, "",
    MONTH(X$51) &lt;&gt; MONTH(DATE($F$2, $H$2, 1)), "",
    TRUE, $B57
)</f>
        <v/>
      </c>
      <c r="Y57" s="75" t="str" cm="1">
        <f t="array" ref="Y57">_xlfn.IFS(
     AND(Y$51 &gt; $O$91, $N$91 = $B57), "",
    Y$51 = $E30, $B57,
    Y$51 = $F30, $B57,
    Y$51 = $G30, $B57,
    Y$51 = $H30, $B57,
    WEEKDAY(Y$51, 1) = $C70, "",
    WEEKDAY(Y$51, 1) = $D70, "",
    Y$51 = $E44, "",
    Y$51 = $F44, "",
    Y$51 = $G44, "",
    Y$51 = $H44, "",
    Y$51 = $I44, "",
    Y$51 = $J44, "",
    Y$51 = $K44, "",
    Y$51 = $L44, "",
    Y$51 = $M44, "",
    Y$51 = $N44, "",
    Y$51 = $O44, "",
    Y$51 = $P44, "",
    Y$51 = $Q44, "",
    MONTH(Y$51) &lt;&gt; MONTH(DATE($F$2, $H$2, 1)), "",
    TRUE, $B57
)</f>
        <v/>
      </c>
      <c r="Z57" s="75" t="str" cm="1">
        <f t="array" ref="Z57">_xlfn.IFS(
     AND(Z$51 &gt; $O$91, $N$91 = $B57), "",
    Z$51 = $E30, $B57,
    Z$51 = $F30, $B57,
    Z$51 = $G30, $B57,
    Z$51 = $H30, $B57,
    WEEKDAY(Z$51, 1) = $C70, "",
    WEEKDAY(Z$51, 1) = $D70, "",
    Z$51 = $E44, "",
    Z$51 = $F44, "",
    Z$51 = $G44, "",
    Z$51 = $H44, "",
    Z$51 = $I44, "",
    Z$51 = $J44, "",
    Z$51 = $K44, "",
    Z$51 = $L44, "",
    Z$51 = $M44, "",
    Z$51 = $N44, "",
    Z$51 = $O44, "",
    Z$51 = $P44, "",
    Z$51 = $Q44, "",
    MONTH(Z$51) &lt;&gt; MONTH(DATE($F$2, $H$2, 1)), "",
    TRUE, $B57
)</f>
        <v>안성용</v>
      </c>
      <c r="AA57" s="75" t="str" cm="1">
        <f t="array" ref="AA57">_xlfn.IFS(
     AND(AA$51 &gt; $O$91, $N$91 = $B57), "",
    AA$51 = $E30, $B57,
    AA$51 = $F30, $B57,
    AA$51 = $G30, $B57,
    AA$51 = $H30, $B57,
    WEEKDAY(AA$51, 1) = $C70, "",
    WEEKDAY(AA$51, 1) = $D70, "",
    AA$51 = $E44, "",
    AA$51 = $F44, "",
    AA$51 = $G44, "",
    AA$51 = $H44, "",
    AA$51 = $I44, "",
    AA$51 = $J44, "",
    AA$51 = $K44, "",
    AA$51 = $L44, "",
    AA$51 = $M44, "",
    AA$51 = $N44, "",
    AA$51 = $O44, "",
    AA$51 = $P44, "",
    AA$51 = $Q44, "",
    MONTH(AA$51) &lt;&gt; MONTH(DATE($F$2, $H$2, 1)), "",
    TRUE, $B57
)</f>
        <v>안성용</v>
      </c>
      <c r="AB57" s="75" t="str" cm="1">
        <f t="array" ref="AB57">_xlfn.IFS(
     AND(AB$51 &gt; $O$91, $N$91 = $B57), "",
    AB$51 = $E30, $B57,
    AB$51 = $F30, $B57,
    AB$51 = $G30, $B57,
    AB$51 = $H30, $B57,
    WEEKDAY(AB$51, 1) = $C70, "",
    WEEKDAY(AB$51, 1) = $D70, "",
    AB$51 = $E44, "",
    AB$51 = $F44, "",
    AB$51 = $G44, "",
    AB$51 = $H44, "",
    AB$51 = $I44, "",
    AB$51 = $J44, "",
    AB$51 = $K44, "",
    AB$51 = $L44, "",
    AB$51 = $M44, "",
    AB$51 = $N44, "",
    AB$51 = $O44, "",
    AB$51 = $P44, "",
    AB$51 = $Q44, "",
    MONTH(AB$51) &lt;&gt; MONTH(DATE($F$2, $H$2, 1)), "",
    TRUE, $B57
)</f>
        <v>안성용</v>
      </c>
      <c r="AC57" s="75" t="str" cm="1">
        <f t="array" ref="AC57">_xlfn.IFS(
     AND(AC$51 &gt; $O$91, $N$91 = $B57), "",
    AC$51 = $E30, $B57,
    AC$51 = $F30, $B57,
    AC$51 = $G30, $B57,
    AC$51 = $H30, $B57,
    WEEKDAY(AC$51, 1) = $C70, "",
    WEEKDAY(AC$51, 1) = $D70, "",
    AC$51 = $E44, "",
    AC$51 = $F44, "",
    AC$51 = $G44, "",
    AC$51 = $H44, "",
    AC$51 = $I44, "",
    AC$51 = $J44, "",
    AC$51 = $K44, "",
    AC$51 = $L44, "",
    AC$51 = $M44, "",
    AC$51 = $N44, "",
    AC$51 = $O44, "",
    AC$51 = $P44, "",
    AC$51 = $Q44, "",
    MONTH(AC$51) &lt;&gt; MONTH(DATE($F$2, $H$2, 1)), "",
    TRUE, $B57
)</f>
        <v>안성용</v>
      </c>
      <c r="AD57" s="75" t="str" cm="1">
        <f t="array" ref="AD57">_xlfn.IFS(
     AND(AD$51 &gt; $O$91, $N$91 = $B57), "",
    AD$51 = $E30, $B57,
    AD$51 = $F30, $B57,
    AD$51 = $G30, $B57,
    AD$51 = $H30, $B57,
    WEEKDAY(AD$51, 1) = $C70, "",
    WEEKDAY(AD$51, 1) = $D70, "",
    AD$51 = $E44, "",
    AD$51 = $F44, "",
    AD$51 = $G44, "",
    AD$51 = $H44, "",
    AD$51 = $I44, "",
    AD$51 = $J44, "",
    AD$51 = $K44, "",
    AD$51 = $L44, "",
    AD$51 = $M44, "",
    AD$51 = $N44, "",
    AD$51 = $O44, "",
    AD$51 = $P44, "",
    AD$51 = $Q44, "",
    MONTH(AD$51) &lt;&gt; MONTH(DATE($F$2, $H$2, 1)), "",
    TRUE, $B57
)</f>
        <v>안성용</v>
      </c>
      <c r="AE57" s="75" t="str" cm="1">
        <f t="array" ref="AE57">_xlfn.IFS(
     AND(AE$51 &gt; $O$91, $N$91 = $B57), "",
    AE$51 = $E30, $B57,
    AE$51 = $F30, $B57,
    AE$51 = $G30, $B57,
    AE$51 = $H30, $B57,
    WEEKDAY(AE$51, 1) = $C70, "",
    WEEKDAY(AE$51, 1) = $D70, "",
    AE$51 = $E44, "",
    AE$51 = $F44, "",
    AE$51 = $G44, "",
    AE$51 = $H44, "",
    AE$51 = $I44, "",
    AE$51 = $J44, "",
    AE$51 = $K44, "",
    AE$51 = $L44, "",
    AE$51 = $M44, "",
    AE$51 = $N44, "",
    AE$51 = $O44, "",
    AE$51 = $P44, "",
    AE$51 = $Q44, "",
    MONTH(AE$51) &lt;&gt; MONTH(DATE($F$2, $H$2, 1)), "",
    TRUE, $B57
)</f>
        <v/>
      </c>
      <c r="AF57" s="75" t="str" cm="1">
        <f t="array" ref="AF57">_xlfn.IFS(
     AND(AF$51 &gt; $O$91, $N$91 = $B57), "",
    AF$51 = $E30, $B57,
    AF$51 = $F30, $B57,
    AF$51 = $G30, $B57,
    AF$51 = $H30, $B57,
    WEEKDAY(AF$51, 1) = $C70, "",
    WEEKDAY(AF$51, 1) = $D70, "",
    AF$51 = $E44, "",
    AF$51 = $F44, "",
    AF$51 = $G44, "",
    AF$51 = $H44, "",
    AF$51 = $I44, "",
    AF$51 = $J44, "",
    AF$51 = $K44, "",
    AF$51 = $L44, "",
    AF$51 = $M44, "",
    AF$51 = $N44, "",
    AF$51 = $O44, "",
    AF$51 = $P44, "",
    AF$51 = $Q44, "",
    MONTH(AF$51) &lt;&gt; MONTH(DATE($F$2, $H$2, 1)), "",
    TRUE, $B57
)</f>
        <v/>
      </c>
      <c r="AG57" s="75" t="str" cm="1">
        <f t="array" ref="AG57">_xlfn.IFS(
     AND(AG$51 &gt; $O$91, $N$91 = $B57), "",
    AG$51 = $E30, $B57,
    AG$51 = $F30, $B57,
    AG$51 = $G30, $B57,
    AG$51 = $H30, $B57,
    WEEKDAY(AG$51, 1) = $C70, "",
    WEEKDAY(AG$51, 1) = $D70, "",
    AG$51 = $E44, "",
    AG$51 = $F44, "",
    AG$51 = $G44, "",
    AG$51 = $H44, "",
    AG$51 = $I44, "",
    AG$51 = $J44, "",
    AG$51 = $K44, "",
    AG$51 = $L44, "",
    AG$51 = $M44, "",
    AG$51 = $N44, "",
    AG$51 = $O44, "",
    AG$51 = $P44, "",
    AG$51 = $Q44, "",
    MONTH(AG$51) &lt;&gt; MONTH(DATE($F$2, $H$2, 1)), "",
    TRUE, $B57
)</f>
        <v>안성용</v>
      </c>
    </row>
    <row r="58" spans="1:33" ht="16.2" hidden="1" customHeight="1" x14ac:dyDescent="0.25">
      <c r="A58" s="9">
        <v>6</v>
      </c>
      <c r="B58" s="2" t="str">
        <f>이름기초!$B$16</f>
        <v>신대진</v>
      </c>
      <c r="C58" s="75" t="str" cm="1">
        <f t="array" ref="C58">_xlfn.IFS(
     AND(C$51 &gt; $O$91, $N$91 = $B58), "",
    C$51 = $E31, $B58,
    C$51 = $F31, $B58,
    C$51 = $G31, $B58,
    C$51 = $H31, $B58,
    WEEKDAY(C$51, 1) = $C71, "",
    WEEKDAY(C$51, 1) = $D71, "",
    C$51 = $E45, "",
    C$51 = $F45, "",
    C$51 = $G45, "",
    C$51 = $H45, "",
    C$51 = $I45, "",
    C$51 = $J45, "",
    C$51 = $K45, "",
    C$51 = $L45, "",
    C$51 = $M45, "",
    C$51 = $N45, "",
    C$51 = $O45, "",
    C$51 = $P45, "",
    C$51 = $Q45, "",
    MONTH(C$51) &lt;&gt; MONTH(DATE($F$2, $H$2, 1)), "",
    TRUE, $B58
)</f>
        <v>신대진</v>
      </c>
      <c r="D58" s="75" t="str" cm="1">
        <f t="array" ref="D58">_xlfn.IFS(
     AND(D$51 &gt; $O$91, $N$91 = $B58), "",
    D$51 = $E31, $B58,
    D$51 = $F31, $B58,
    D$51 = $G31, $B58,
    D$51 = $H31, $B58,
    WEEKDAY(D$51, 1) = $C71, "",
    WEEKDAY(D$51, 1) = $D71, "",
    D$51 = $E45, "",
    D$51 = $F45, "",
    D$51 = $G45, "",
    D$51 = $H45, "",
    D$51 = $I45, "",
    D$51 = $J45, "",
    D$51 = $K45, "",
    D$51 = $L45, "",
    D$51 = $M45, "",
    D$51 = $N45, "",
    D$51 = $O45, "",
    D$51 = $P45, "",
    D$51 = $Q45, "",
    MONTH(D$51) &lt;&gt; MONTH(DATE($F$2, $H$2, 1)), "",
    TRUE, $B58
)</f>
        <v>신대진</v>
      </c>
      <c r="E58" s="75" t="str" cm="1">
        <f t="array" ref="E58">_xlfn.IFS(
     AND(E$51 &gt; $O$91, $N$91 = $B58), "",
    E$51 = $E31, $B58,
    E$51 = $F31, $B58,
    E$51 = $G31, $B58,
    E$51 = $H31, $B58,
    WEEKDAY(E$51, 1) = $C71, "",
    WEEKDAY(E$51, 1) = $D71, "",
    E$51 = $E45, "",
    E$51 = $F45, "",
    E$51 = $G45, "",
    E$51 = $H45, "",
    E$51 = $I45, "",
    E$51 = $J45, "",
    E$51 = $K45, "",
    E$51 = $L45, "",
    E$51 = $M45, "",
    E$51 = $N45, "",
    E$51 = $O45, "",
    E$51 = $P45, "",
    E$51 = $Q45, "",
    MONTH(E$51) &lt;&gt; MONTH(DATE($F$2, $H$2, 1)), "",
    TRUE, $B58
)</f>
        <v>신대진</v>
      </c>
      <c r="F58" s="75" t="str" cm="1">
        <f t="array" ref="F58">_xlfn.IFS(
     AND(F$51 &gt; $O$91, $N$91 = $B58), "",
    F$51 = $E31, $B58,
    F$51 = $F31, $B58,
    F$51 = $G31, $B58,
    F$51 = $H31, $B58,
    WEEKDAY(F$51, 1) = $C71, "",
    WEEKDAY(F$51, 1) = $D71, "",
    F$51 = $E45, "",
    F$51 = $F45, "",
    F$51 = $G45, "",
    F$51 = $H45, "",
    F$51 = $I45, "",
    F$51 = $J45, "",
    F$51 = $K45, "",
    F$51 = $L45, "",
    F$51 = $M45, "",
    F$51 = $N45, "",
    F$51 = $O45, "",
    F$51 = $P45, "",
    F$51 = $Q45, "",
    MONTH(F$51) &lt;&gt; MONTH(DATE($F$2, $H$2, 1)), "",
    TRUE, $B58
)</f>
        <v>신대진</v>
      </c>
      <c r="G58" s="75" t="str" cm="1">
        <f t="array" ref="G58">_xlfn.IFS(
     AND(G$51 &gt; $O$91, $N$91 = $B58), "",
    G$51 = $E31, $B58,
    G$51 = $F31, $B58,
    G$51 = $G31, $B58,
    G$51 = $H31, $B58,
    WEEKDAY(G$51, 1) = $C71, "",
    WEEKDAY(G$51, 1) = $D71, "",
    G$51 = $E45, "",
    G$51 = $F45, "",
    G$51 = $G45, "",
    G$51 = $H45, "",
    G$51 = $I45, "",
    G$51 = $J45, "",
    G$51 = $K45, "",
    G$51 = $L45, "",
    G$51 = $M45, "",
    G$51 = $N45, "",
    G$51 = $O45, "",
    G$51 = $P45, "",
    G$51 = $Q45, "",
    MONTH(G$51) &lt;&gt; MONTH(DATE($F$2, $H$2, 1)), "",
    TRUE, $B58
)</f>
        <v>신대진</v>
      </c>
      <c r="H58" s="75" t="str" cm="1">
        <f t="array" ref="H58">_xlfn.IFS(
     AND(H$51 &gt; $O$91, $N$91 = $B58), "",
    H$51 = $E31, $B58,
    H$51 = $F31, $B58,
    H$51 = $G31, $B58,
    H$51 = $H31, $B58,
    WEEKDAY(H$51, 1) = $C71, "",
    WEEKDAY(H$51, 1) = $D71, "",
    H$51 = $E45, "",
    H$51 = $F45, "",
    H$51 = $G45, "",
    H$51 = $H45, "",
    H$51 = $I45, "",
    H$51 = $J45, "",
    H$51 = $K45, "",
    H$51 = $L45, "",
    H$51 = $M45, "",
    H$51 = $N45, "",
    H$51 = $O45, "",
    H$51 = $P45, "",
    H$51 = $Q45, "",
    MONTH(H$51) &lt;&gt; MONTH(DATE($F$2, $H$2, 1)), "",
    TRUE, $B58
)</f>
        <v>신대진</v>
      </c>
      <c r="I58" s="75" t="str" cm="1">
        <f t="array" ref="I58">_xlfn.IFS(
     AND(I$51 &gt; $O$91, $N$91 = $B58), "",
    I$51 = $E31, $B58,
    I$51 = $F31, $B58,
    I$51 = $G31, $B58,
    I$51 = $H31, $B58,
    WEEKDAY(I$51, 1) = $C71, "",
    WEEKDAY(I$51, 1) = $D71, "",
    I$51 = $E45, "",
    I$51 = $F45, "",
    I$51 = $G45, "",
    I$51 = $H45, "",
    I$51 = $I45, "",
    I$51 = $J45, "",
    I$51 = $K45, "",
    I$51 = $L45, "",
    I$51 = $M45, "",
    I$51 = $N45, "",
    I$51 = $O45, "",
    I$51 = $P45, "",
    I$51 = $Q45, "",
    MONTH(I$51) &lt;&gt; MONTH(DATE($F$2, $H$2, 1)), "",
    TRUE, $B58
)</f>
        <v>신대진</v>
      </c>
      <c r="J58" s="75" t="str" cm="1">
        <f t="array" ref="J58">_xlfn.IFS(
     AND(J$51 &gt; $O$91, $N$91 = $B58), "",
    J$51 = $E31, $B58,
    J$51 = $F31, $B58,
    J$51 = $G31, $B58,
    J$51 = $H31, $B58,
    WEEKDAY(J$51, 1) = $C71, "",
    WEEKDAY(J$51, 1) = $D71, "",
    J$51 = $E45, "",
    J$51 = $F45, "",
    J$51 = $G45, "",
    J$51 = $H45, "",
    J$51 = $I45, "",
    J$51 = $J45, "",
    J$51 = $K45, "",
    J$51 = $L45, "",
    J$51 = $M45, "",
    J$51 = $N45, "",
    J$51 = $O45, "",
    J$51 = $P45, "",
    J$51 = $Q45, "",
    MONTH(J$51) &lt;&gt; MONTH(DATE($F$2, $H$2, 1)), "",
    TRUE, $B58
)</f>
        <v>신대진</v>
      </c>
      <c r="K58" s="75" t="str" cm="1">
        <f t="array" ref="K58">_xlfn.IFS(
     AND(K$51 &gt; $O$91, $N$91 = $B58), "",
    K$51 = $E31, $B58,
    K$51 = $F31, $B58,
    K$51 = $G31, $B58,
    K$51 = $H31, $B58,
    WEEKDAY(K$51, 1) = $C71, "",
    WEEKDAY(K$51, 1) = $D71, "",
    K$51 = $E45, "",
    K$51 = $F45, "",
    K$51 = $G45, "",
    K$51 = $H45, "",
    K$51 = $I45, "",
    K$51 = $J45, "",
    K$51 = $K45, "",
    K$51 = $L45, "",
    K$51 = $M45, "",
    K$51 = $N45, "",
    K$51 = $O45, "",
    K$51 = $P45, "",
    K$51 = $Q45, "",
    MONTH(K$51) &lt;&gt; MONTH(DATE($F$2, $H$2, 1)), "",
    TRUE, $B58
)</f>
        <v>신대진</v>
      </c>
      <c r="L58" s="75" t="str" cm="1">
        <f t="array" ref="L58">_xlfn.IFS(
     AND(L$51 &gt; $O$91, $N$91 = $B58), "",
    L$51 = $E31, $B58,
    L$51 = $F31, $B58,
    L$51 = $G31, $B58,
    L$51 = $H31, $B58,
    WEEKDAY(L$51, 1) = $C71, "",
    WEEKDAY(L$51, 1) = $D71, "",
    L$51 = $E45, "",
    L$51 = $F45, "",
    L$51 = $G45, "",
    L$51 = $H45, "",
    L$51 = $I45, "",
    L$51 = $J45, "",
    L$51 = $K45, "",
    L$51 = $L45, "",
    L$51 = $M45, "",
    L$51 = $N45, "",
    L$51 = $O45, "",
    L$51 = $P45, "",
    L$51 = $Q45, "",
    MONTH(L$51) &lt;&gt; MONTH(DATE($F$2, $H$2, 1)), "",
    TRUE, $B58
)</f>
        <v>신대진</v>
      </c>
      <c r="M58" s="75" t="str" cm="1">
        <f t="array" ref="M58">_xlfn.IFS(
     AND(M$51 &gt; $O$91, $N$91 = $B58), "",
    M$51 = $E31, $B58,
    M$51 = $F31, $B58,
    M$51 = $G31, $B58,
    M$51 = $H31, $B58,
    WEEKDAY(M$51, 1) = $C71, "",
    WEEKDAY(M$51, 1) = $D71, "",
    M$51 = $E45, "",
    M$51 = $F45, "",
    M$51 = $G45, "",
    M$51 = $H45, "",
    M$51 = $I45, "",
    M$51 = $J45, "",
    M$51 = $K45, "",
    M$51 = $L45, "",
    M$51 = $M45, "",
    M$51 = $N45, "",
    M$51 = $O45, "",
    M$51 = $P45, "",
    M$51 = $Q45, "",
    MONTH(M$51) &lt;&gt; MONTH(DATE($F$2, $H$2, 1)), "",
    TRUE, $B58
)</f>
        <v>신대진</v>
      </c>
      <c r="N58" s="75" t="str" cm="1">
        <f t="array" ref="N58">_xlfn.IFS(
     AND(N$51 &gt; $O$91, $N$91 = $B58), "",
    N$51 = $E31, $B58,
    N$51 = $F31, $B58,
    N$51 = $G31, $B58,
    N$51 = $H31, $B58,
    WEEKDAY(N$51, 1) = $C71, "",
    WEEKDAY(N$51, 1) = $D71, "",
    N$51 = $E45, "",
    N$51 = $F45, "",
    N$51 = $G45, "",
    N$51 = $H45, "",
    N$51 = $I45, "",
    N$51 = $J45, "",
    N$51 = $K45, "",
    N$51 = $L45, "",
    N$51 = $M45, "",
    N$51 = $N45, "",
    N$51 = $O45, "",
    N$51 = $P45, "",
    N$51 = $Q45, "",
    MONTH(N$51) &lt;&gt; MONTH(DATE($F$2, $H$2, 1)), "",
    TRUE, $B58
)</f>
        <v>신대진</v>
      </c>
      <c r="O58" s="75" t="str" cm="1">
        <f t="array" ref="O58">_xlfn.IFS(
     AND(O$51 &gt; $O$91, $N$91 = $B58), "",
    O$51 = $E31, $B58,
    O$51 = $F31, $B58,
    O$51 = $G31, $B58,
    O$51 = $H31, $B58,
    WEEKDAY(O$51, 1) = $C71, "",
    WEEKDAY(O$51, 1) = $D71, "",
    O$51 = $E45, "",
    O$51 = $F45, "",
    O$51 = $G45, "",
    O$51 = $H45, "",
    O$51 = $I45, "",
    O$51 = $J45, "",
    O$51 = $K45, "",
    O$51 = $L45, "",
    O$51 = $M45, "",
    O$51 = $N45, "",
    O$51 = $O45, "",
    O$51 = $P45, "",
    O$51 = $Q45, "",
    MONTH(O$51) &lt;&gt; MONTH(DATE($F$2, $H$2, 1)), "",
    TRUE, $B58
)</f>
        <v>신대진</v>
      </c>
      <c r="P58" s="75" t="str" cm="1">
        <f t="array" ref="P58">_xlfn.IFS(
     AND(P$51 &gt; $O$91, $N$91 = $B58), "",
    P$51 = $E31, $B58,
    P$51 = $F31, $B58,
    P$51 = $G31, $B58,
    P$51 = $H31, $B58,
    WEEKDAY(P$51, 1) = $C71, "",
    WEEKDAY(P$51, 1) = $D71, "",
    P$51 = $E45, "",
    P$51 = $F45, "",
    P$51 = $G45, "",
    P$51 = $H45, "",
    P$51 = $I45, "",
    P$51 = $J45, "",
    P$51 = $K45, "",
    P$51 = $L45, "",
    P$51 = $M45, "",
    P$51 = $N45, "",
    P$51 = $O45, "",
    P$51 = $P45, "",
    P$51 = $Q45, "",
    MONTH(P$51) &lt;&gt; MONTH(DATE($F$2, $H$2, 1)), "",
    TRUE, $B58
)</f>
        <v>신대진</v>
      </c>
      <c r="Q58" s="75" t="str" cm="1">
        <f t="array" ref="Q58">_xlfn.IFS(
     AND(Q$51 &gt; $O$91, $N$91 = $B58), "",
    Q$51 = $E31, $B58,
    Q$51 = $F31, $B58,
    Q$51 = $G31, $B58,
    Q$51 = $H31, $B58,
    WEEKDAY(Q$51, 1) = $C71, "",
    WEEKDAY(Q$51, 1) = $D71, "",
    Q$51 = $E45, "",
    Q$51 = $F45, "",
    Q$51 = $G45, "",
    Q$51 = $H45, "",
    Q$51 = $I45, "",
    Q$51 = $J45, "",
    Q$51 = $K45, "",
    Q$51 = $L45, "",
    Q$51 = $M45, "",
    Q$51 = $N45, "",
    Q$51 = $O45, "",
    Q$51 = $P45, "",
    Q$51 = $Q45, "",
    MONTH(Q$51) &lt;&gt; MONTH(DATE($F$2, $H$2, 1)), "",
    TRUE, $B58
)</f>
        <v>신대진</v>
      </c>
      <c r="R58" s="75" t="str" cm="1">
        <f t="array" ref="R58">_xlfn.IFS(
     AND(R$51 &gt; $O$91, $N$91 = $B58), "",
    R$51 = $E31, $B58,
    R$51 = $F31, $B58,
    R$51 = $G31, $B58,
    R$51 = $H31, $B58,
    WEEKDAY(R$51, 1) = $C71, "",
    WEEKDAY(R$51, 1) = $D71, "",
    R$51 = $E45, "",
    R$51 = $F45, "",
    R$51 = $G45, "",
    R$51 = $H45, "",
    R$51 = $I45, "",
    R$51 = $J45, "",
    R$51 = $K45, "",
    R$51 = $L45, "",
    R$51 = $M45, "",
    R$51 = $N45, "",
    R$51 = $O45, "",
    R$51 = $P45, "",
    R$51 = $Q45, "",
    MONTH(R$51) &lt;&gt; MONTH(DATE($F$2, $H$2, 1)), "",
    TRUE, $B58
)</f>
        <v>신대진</v>
      </c>
      <c r="S58" s="75" t="str" cm="1">
        <f t="array" ref="S58">_xlfn.IFS(
     AND(S$51 &gt; $O$91, $N$91 = $B58), "",
    S$51 = $E31, $B58,
    S$51 = $F31, $B58,
    S$51 = $G31, $B58,
    S$51 = $H31, $B58,
    WEEKDAY(S$51, 1) = $C71, "",
    WEEKDAY(S$51, 1) = $D71, "",
    S$51 = $E45, "",
    S$51 = $F45, "",
    S$51 = $G45, "",
    S$51 = $H45, "",
    S$51 = $I45, "",
    S$51 = $J45, "",
    S$51 = $K45, "",
    S$51 = $L45, "",
    S$51 = $M45, "",
    S$51 = $N45, "",
    S$51 = $O45, "",
    S$51 = $P45, "",
    S$51 = $Q45, "",
    MONTH(S$51) &lt;&gt; MONTH(DATE($F$2, $H$2, 1)), "",
    TRUE, $B58
)</f>
        <v>신대진</v>
      </c>
      <c r="T58" s="75" t="str" cm="1">
        <f t="array" ref="T58">_xlfn.IFS(
     AND(T$51 &gt; $O$91, $N$91 = $B58), "",
    T$51 = $E31, $B58,
    T$51 = $F31, $B58,
    T$51 = $G31, $B58,
    T$51 = $H31, $B58,
    WEEKDAY(T$51, 1) = $C71, "",
    WEEKDAY(T$51, 1) = $D71, "",
    T$51 = $E45, "",
    T$51 = $F45, "",
    T$51 = $G45, "",
    T$51 = $H45, "",
    T$51 = $I45, "",
    T$51 = $J45, "",
    T$51 = $K45, "",
    T$51 = $L45, "",
    T$51 = $M45, "",
    T$51 = $N45, "",
    T$51 = $O45, "",
    T$51 = $P45, "",
    T$51 = $Q45, "",
    MONTH(T$51) &lt;&gt; MONTH(DATE($F$2, $H$2, 1)), "",
    TRUE, $B58
)</f>
        <v>신대진</v>
      </c>
      <c r="U58" s="75" t="str" cm="1">
        <f t="array" ref="U58">_xlfn.IFS(
     AND(U$51 &gt; $O$91, $N$91 = $B58), "",
    U$51 = $E31, $B58,
    U$51 = $F31, $B58,
    U$51 = $G31, $B58,
    U$51 = $H31, $B58,
    WEEKDAY(U$51, 1) = $C71, "",
    WEEKDAY(U$51, 1) = $D71, "",
    U$51 = $E45, "",
    U$51 = $F45, "",
    U$51 = $G45, "",
    U$51 = $H45, "",
    U$51 = $I45, "",
    U$51 = $J45, "",
    U$51 = $K45, "",
    U$51 = $L45, "",
    U$51 = $M45, "",
    U$51 = $N45, "",
    U$51 = $O45, "",
    U$51 = $P45, "",
    U$51 = $Q45, "",
    MONTH(U$51) &lt;&gt; MONTH(DATE($F$2, $H$2, 1)), "",
    TRUE, $B58
)</f>
        <v>신대진</v>
      </c>
      <c r="V58" s="75" t="str" cm="1">
        <f t="array" ref="V58">_xlfn.IFS(
     AND(V$51 &gt; $O$91, $N$91 = $B58), "",
    V$51 = $E31, $B58,
    V$51 = $F31, $B58,
    V$51 = $G31, $B58,
    V$51 = $H31, $B58,
    WEEKDAY(V$51, 1) = $C71, "",
    WEEKDAY(V$51, 1) = $D71, "",
    V$51 = $E45, "",
    V$51 = $F45, "",
    V$51 = $G45, "",
    V$51 = $H45, "",
    V$51 = $I45, "",
    V$51 = $J45, "",
    V$51 = $K45, "",
    V$51 = $L45, "",
    V$51 = $M45, "",
    V$51 = $N45, "",
    V$51 = $O45, "",
    V$51 = $P45, "",
    V$51 = $Q45, "",
    MONTH(V$51) &lt;&gt; MONTH(DATE($F$2, $H$2, 1)), "",
    TRUE, $B58
)</f>
        <v>신대진</v>
      </c>
      <c r="W58" s="75" t="str" cm="1">
        <f t="array" ref="W58">_xlfn.IFS(
     AND(W$51 &gt; $O$91, $N$91 = $B58), "",
    W$51 = $E31, $B58,
    W$51 = $F31, $B58,
    W$51 = $G31, $B58,
    W$51 = $H31, $B58,
    WEEKDAY(W$51, 1) = $C71, "",
    WEEKDAY(W$51, 1) = $D71, "",
    W$51 = $E45, "",
    W$51 = $F45, "",
    W$51 = $G45, "",
    W$51 = $H45, "",
    W$51 = $I45, "",
    W$51 = $J45, "",
    W$51 = $K45, "",
    W$51 = $L45, "",
    W$51 = $M45, "",
    W$51 = $N45, "",
    W$51 = $O45, "",
    W$51 = $P45, "",
    W$51 = $Q45, "",
    MONTH(W$51) &lt;&gt; MONTH(DATE($F$2, $H$2, 1)), "",
    TRUE, $B58
)</f>
        <v>신대진</v>
      </c>
      <c r="X58" s="75" t="str" cm="1">
        <f t="array" ref="X58">_xlfn.IFS(
     AND(X$51 &gt; $O$91, $N$91 = $B58), "",
    X$51 = $E31, $B58,
    X$51 = $F31, $B58,
    X$51 = $G31, $B58,
    X$51 = $H31, $B58,
    WEEKDAY(X$51, 1) = $C71, "",
    WEEKDAY(X$51, 1) = $D71, "",
    X$51 = $E45, "",
    X$51 = $F45, "",
    X$51 = $G45, "",
    X$51 = $H45, "",
    X$51 = $I45, "",
    X$51 = $J45, "",
    X$51 = $K45, "",
    X$51 = $L45, "",
    X$51 = $M45, "",
    X$51 = $N45, "",
    X$51 = $O45, "",
    X$51 = $P45, "",
    X$51 = $Q45, "",
    MONTH(X$51) &lt;&gt; MONTH(DATE($F$2, $H$2, 1)), "",
    TRUE, $B58
)</f>
        <v>신대진</v>
      </c>
      <c r="Y58" s="75" t="str" cm="1">
        <f t="array" ref="Y58">_xlfn.IFS(
     AND(Y$51 &gt; $O$91, $N$91 = $B58), "",
    Y$51 = $E31, $B58,
    Y$51 = $F31, $B58,
    Y$51 = $G31, $B58,
    Y$51 = $H31, $B58,
    WEEKDAY(Y$51, 1) = $C71, "",
    WEEKDAY(Y$51, 1) = $D71, "",
    Y$51 = $E45, "",
    Y$51 = $F45, "",
    Y$51 = $G45, "",
    Y$51 = $H45, "",
    Y$51 = $I45, "",
    Y$51 = $J45, "",
    Y$51 = $K45, "",
    Y$51 = $L45, "",
    Y$51 = $M45, "",
    Y$51 = $N45, "",
    Y$51 = $O45, "",
    Y$51 = $P45, "",
    Y$51 = $Q45, "",
    MONTH(Y$51) &lt;&gt; MONTH(DATE($F$2, $H$2, 1)), "",
    TRUE, $B58
)</f>
        <v>신대진</v>
      </c>
      <c r="Z58" s="75" t="str" cm="1">
        <f t="array" ref="Z58">_xlfn.IFS(
     AND(Z$51 &gt; $O$91, $N$91 = $B58), "",
    Z$51 = $E31, $B58,
    Z$51 = $F31, $B58,
    Z$51 = $G31, $B58,
    Z$51 = $H31, $B58,
    WEEKDAY(Z$51, 1) = $C71, "",
    WEEKDAY(Z$51, 1) = $D71, "",
    Z$51 = $E45, "",
    Z$51 = $F45, "",
    Z$51 = $G45, "",
    Z$51 = $H45, "",
    Z$51 = $I45, "",
    Z$51 = $J45, "",
    Z$51 = $K45, "",
    Z$51 = $L45, "",
    Z$51 = $M45, "",
    Z$51 = $N45, "",
    Z$51 = $O45, "",
    Z$51 = $P45, "",
    Z$51 = $Q45, "",
    MONTH(Z$51) &lt;&gt; MONTH(DATE($F$2, $H$2, 1)), "",
    TRUE, $B58
)</f>
        <v>신대진</v>
      </c>
      <c r="AA58" s="75" t="str" cm="1">
        <f t="array" ref="AA58">_xlfn.IFS(
     AND(AA$51 &gt; $O$91, $N$91 = $B58), "",
    AA$51 = $E31, $B58,
    AA$51 = $F31, $B58,
    AA$51 = $G31, $B58,
    AA$51 = $H31, $B58,
    WEEKDAY(AA$51, 1) = $C71, "",
    WEEKDAY(AA$51, 1) = $D71, "",
    AA$51 = $E45, "",
    AA$51 = $F45, "",
    AA$51 = $G45, "",
    AA$51 = $H45, "",
    AA$51 = $I45, "",
    AA$51 = $J45, "",
    AA$51 = $K45, "",
    AA$51 = $L45, "",
    AA$51 = $M45, "",
    AA$51 = $N45, "",
    AA$51 = $O45, "",
    AA$51 = $P45, "",
    AA$51 = $Q45, "",
    MONTH(AA$51) &lt;&gt; MONTH(DATE($F$2, $H$2, 1)), "",
    TRUE, $B58
)</f>
        <v>신대진</v>
      </c>
      <c r="AB58" s="75" t="str" cm="1">
        <f t="array" ref="AB58">_xlfn.IFS(
     AND(AB$51 &gt; $O$91, $N$91 = $B58), "",
    AB$51 = $E31, $B58,
    AB$51 = $F31, $B58,
    AB$51 = $G31, $B58,
    AB$51 = $H31, $B58,
    WEEKDAY(AB$51, 1) = $C71, "",
    WEEKDAY(AB$51, 1) = $D71, "",
    AB$51 = $E45, "",
    AB$51 = $F45, "",
    AB$51 = $G45, "",
    AB$51 = $H45, "",
    AB$51 = $I45, "",
    AB$51 = $J45, "",
    AB$51 = $K45, "",
    AB$51 = $L45, "",
    AB$51 = $M45, "",
    AB$51 = $N45, "",
    AB$51 = $O45, "",
    AB$51 = $P45, "",
    AB$51 = $Q45, "",
    MONTH(AB$51) &lt;&gt; MONTH(DATE($F$2, $H$2, 1)), "",
    TRUE, $B58
)</f>
        <v>신대진</v>
      </c>
      <c r="AC58" s="75" t="str" cm="1">
        <f t="array" ref="AC58">_xlfn.IFS(
     AND(AC$51 &gt; $O$91, $N$91 = $B58), "",
    AC$51 = $E31, $B58,
    AC$51 = $F31, $B58,
    AC$51 = $G31, $B58,
    AC$51 = $H31, $B58,
    WEEKDAY(AC$51, 1) = $C71, "",
    WEEKDAY(AC$51, 1) = $D71, "",
    AC$51 = $E45, "",
    AC$51 = $F45, "",
    AC$51 = $G45, "",
    AC$51 = $H45, "",
    AC$51 = $I45, "",
    AC$51 = $J45, "",
    AC$51 = $K45, "",
    AC$51 = $L45, "",
    AC$51 = $M45, "",
    AC$51 = $N45, "",
    AC$51 = $O45, "",
    AC$51 = $P45, "",
    AC$51 = $Q45, "",
    MONTH(AC$51) &lt;&gt; MONTH(DATE($F$2, $H$2, 1)), "",
    TRUE, $B58
)</f>
        <v>신대진</v>
      </c>
      <c r="AD58" s="75" t="str" cm="1">
        <f t="array" ref="AD58">_xlfn.IFS(
     AND(AD$51 &gt; $O$91, $N$91 = $B58), "",
    AD$51 = $E31, $B58,
    AD$51 = $F31, $B58,
    AD$51 = $G31, $B58,
    AD$51 = $H31, $B58,
    WEEKDAY(AD$51, 1) = $C71, "",
    WEEKDAY(AD$51, 1) = $D71, "",
    AD$51 = $E45, "",
    AD$51 = $F45, "",
    AD$51 = $G45, "",
    AD$51 = $H45, "",
    AD$51 = $I45, "",
    AD$51 = $J45, "",
    AD$51 = $K45, "",
    AD$51 = $L45, "",
    AD$51 = $M45, "",
    AD$51 = $N45, "",
    AD$51 = $O45, "",
    AD$51 = $P45, "",
    AD$51 = $Q45, "",
    MONTH(AD$51) &lt;&gt; MONTH(DATE($F$2, $H$2, 1)), "",
    TRUE, $B58
)</f>
        <v>신대진</v>
      </c>
      <c r="AE58" s="75" t="str" cm="1">
        <f t="array" ref="AE58">_xlfn.IFS(
     AND(AE$51 &gt; $O$91, $N$91 = $B58), "",
    AE$51 = $E31, $B58,
    AE$51 = $F31, $B58,
    AE$51 = $G31, $B58,
    AE$51 = $H31, $B58,
    WEEKDAY(AE$51, 1) = $C71, "",
    WEEKDAY(AE$51, 1) = $D71, "",
    AE$51 = $E45, "",
    AE$51 = $F45, "",
    AE$51 = $G45, "",
    AE$51 = $H45, "",
    AE$51 = $I45, "",
    AE$51 = $J45, "",
    AE$51 = $K45, "",
    AE$51 = $L45, "",
    AE$51 = $M45, "",
    AE$51 = $N45, "",
    AE$51 = $O45, "",
    AE$51 = $P45, "",
    AE$51 = $Q45, "",
    MONTH(AE$51) &lt;&gt; MONTH(DATE($F$2, $H$2, 1)), "",
    TRUE, $B58
)</f>
        <v>신대진</v>
      </c>
      <c r="AF58" s="75" t="str" cm="1">
        <f t="array" ref="AF58">_xlfn.IFS(
     AND(AF$51 &gt; $O$91, $N$91 = $B58), "",
    AF$51 = $E31, $B58,
    AF$51 = $F31, $B58,
    AF$51 = $G31, $B58,
    AF$51 = $H31, $B58,
    WEEKDAY(AF$51, 1) = $C71, "",
    WEEKDAY(AF$51, 1) = $D71, "",
    AF$51 = $E45, "",
    AF$51 = $F45, "",
    AF$51 = $G45, "",
    AF$51 = $H45, "",
    AF$51 = $I45, "",
    AF$51 = $J45, "",
    AF$51 = $K45, "",
    AF$51 = $L45, "",
    AF$51 = $M45, "",
    AF$51 = $N45, "",
    AF$51 = $O45, "",
    AF$51 = $P45, "",
    AF$51 = $Q45, "",
    MONTH(AF$51) &lt;&gt; MONTH(DATE($F$2, $H$2, 1)), "",
    TRUE, $B58
)</f>
        <v>신대진</v>
      </c>
      <c r="AG58" s="75" t="str" cm="1">
        <f t="array" ref="AG58">_xlfn.IFS(
     AND(AG$51 &gt; $O$91, $N$91 = $B58), "",
    AG$51 = $E31, $B58,
    AG$51 = $F31, $B58,
    AG$51 = $G31, $B58,
    AG$51 = $H31, $B58,
    WEEKDAY(AG$51, 1) = $C71, "",
    WEEKDAY(AG$51, 1) = $D71, "",
    AG$51 = $E45, "",
    AG$51 = $F45, "",
    AG$51 = $G45, "",
    AG$51 = $H45, "",
    AG$51 = $I45, "",
    AG$51 = $J45, "",
    AG$51 = $K45, "",
    AG$51 = $L45, "",
    AG$51 = $M45, "",
    AG$51 = $N45, "",
    AG$51 = $O45, "",
    AG$51 = $P45, "",
    AG$51 = $Q45, "",
    MONTH(AG$51) &lt;&gt; MONTH(DATE($F$2, $H$2, 1)), "",
    TRUE, $B58
)</f>
        <v>신대진</v>
      </c>
    </row>
    <row r="59" spans="1:33" ht="16.2" hidden="1" customHeight="1" x14ac:dyDescent="0.25">
      <c r="A59" s="9">
        <v>7</v>
      </c>
      <c r="B59" s="2" t="str">
        <f>이름기초!$B$17</f>
        <v>김대화</v>
      </c>
      <c r="C59" s="75" t="str" cm="1">
        <f t="array" ref="C59">_xlfn.IFS(
     AND(C$51 &gt; $O$91, $N$91 = $B59), "",
    C$51 = $E32, $B59,
    C$51 = $F32, $B59,
    C$51 = $G32, $B59,
    C$51 = $H32, $B59,
    WEEKDAY(C$51, 1) = $C72, "",
    WEEKDAY(C$51, 1) = $D72, "",
    C$51 = $E46, "",
    C$51 = $F46, "",
    C$51 = $G46, "",
    C$51 = $H46, "",
    C$51 = $I46, "",
    C$51 = $J46, "",
    C$51 = $K46, "",
    C$51 = $L46, "",
    C$51 = $M46, "",
    C$51 = $N46, "",
    C$51 = $O46, "",
    C$51 = $P46, "",
    C$51 = $Q46, "",
    MONTH(C$51) &lt;&gt; MONTH(DATE($F$2, $H$2, 1)), "",
    TRUE, $B59
)</f>
        <v>김대화</v>
      </c>
      <c r="D59" s="75" t="str" cm="1">
        <f t="array" ref="D59">_xlfn.IFS(
     AND(D$51 &gt; $O$91, $N$91 = $B59), "",
    D$51 = $E32, $B59,
    D$51 = $F32, $B59,
    D$51 = $G32, $B59,
    D$51 = $H32, $B59,
    WEEKDAY(D$51, 1) = $C72, "",
    WEEKDAY(D$51, 1) = $D72, "",
    D$51 = $E46, "",
    D$51 = $F46, "",
    D$51 = $G46, "",
    D$51 = $H46, "",
    D$51 = $I46, "",
    D$51 = $J46, "",
    D$51 = $K46, "",
    D$51 = $L46, "",
    D$51 = $M46, "",
    D$51 = $N46, "",
    D$51 = $O46, "",
    D$51 = $P46, "",
    D$51 = $Q46, "",
    MONTH(D$51) &lt;&gt; MONTH(DATE($F$2, $H$2, 1)), "",
    TRUE, $B59
)</f>
        <v/>
      </c>
      <c r="E59" s="75" t="str" cm="1">
        <f t="array" ref="E59">_xlfn.IFS(
     AND(E$51 &gt; $O$91, $N$91 = $B59), "",
    E$51 = $E32, $B59,
    E$51 = $F32, $B59,
    E$51 = $G32, $B59,
    E$51 = $H32, $B59,
    WEEKDAY(E$51, 1) = $C72, "",
    WEEKDAY(E$51, 1) = $D72, "",
    E$51 = $E46, "",
    E$51 = $F46, "",
    E$51 = $G46, "",
    E$51 = $H46, "",
    E$51 = $I46, "",
    E$51 = $J46, "",
    E$51 = $K46, "",
    E$51 = $L46, "",
    E$51 = $M46, "",
    E$51 = $N46, "",
    E$51 = $O46, "",
    E$51 = $P46, "",
    E$51 = $Q46, "",
    MONTH(E$51) &lt;&gt; MONTH(DATE($F$2, $H$2, 1)), "",
    TRUE, $B59
)</f>
        <v/>
      </c>
      <c r="F59" s="75" t="str" cm="1">
        <f t="array" ref="F59">_xlfn.IFS(
     AND(F$51 &gt; $O$91, $N$91 = $B59), "",
    F$51 = $E32, $B59,
    F$51 = $F32, $B59,
    F$51 = $G32, $B59,
    F$51 = $H32, $B59,
    WEEKDAY(F$51, 1) = $C72, "",
    WEEKDAY(F$51, 1) = $D72, "",
    F$51 = $E46, "",
    F$51 = $F46, "",
    F$51 = $G46, "",
    F$51 = $H46, "",
    F$51 = $I46, "",
    F$51 = $J46, "",
    F$51 = $K46, "",
    F$51 = $L46, "",
    F$51 = $M46, "",
    F$51 = $N46, "",
    F$51 = $O46, "",
    F$51 = $P46, "",
    F$51 = $Q46, "",
    MONTH(F$51) &lt;&gt; MONTH(DATE($F$2, $H$2, 1)), "",
    TRUE, $B59
)</f>
        <v/>
      </c>
      <c r="G59" s="75" t="str" cm="1">
        <f t="array" ref="G59">_xlfn.IFS(
     AND(G$51 &gt; $O$91, $N$91 = $B59), "",
    G$51 = $E32, $B59,
    G$51 = $F32, $B59,
    G$51 = $G32, $B59,
    G$51 = $H32, $B59,
    WEEKDAY(G$51, 1) = $C72, "",
    WEEKDAY(G$51, 1) = $D72, "",
    G$51 = $E46, "",
    G$51 = $F46, "",
    G$51 = $G46, "",
    G$51 = $H46, "",
    G$51 = $I46, "",
    G$51 = $J46, "",
    G$51 = $K46, "",
    G$51 = $L46, "",
    G$51 = $M46, "",
    G$51 = $N46, "",
    G$51 = $O46, "",
    G$51 = $P46, "",
    G$51 = $Q46, "",
    MONTH(G$51) &lt;&gt; MONTH(DATE($F$2, $H$2, 1)), "",
    TRUE, $B59
)</f>
        <v>김대화</v>
      </c>
      <c r="H59" s="75" t="str" cm="1">
        <f t="array" ref="H59">_xlfn.IFS(
     AND(H$51 &gt; $O$91, $N$91 = $B59), "",
    H$51 = $E32, $B59,
    H$51 = $F32, $B59,
    H$51 = $G32, $B59,
    H$51 = $H32, $B59,
    WEEKDAY(H$51, 1) = $C72, "",
    WEEKDAY(H$51, 1) = $D72, "",
    H$51 = $E46, "",
    H$51 = $F46, "",
    H$51 = $G46, "",
    H$51 = $H46, "",
    H$51 = $I46, "",
    H$51 = $J46, "",
    H$51 = $K46, "",
    H$51 = $L46, "",
    H$51 = $M46, "",
    H$51 = $N46, "",
    H$51 = $O46, "",
    H$51 = $P46, "",
    H$51 = $Q46, "",
    MONTH(H$51) &lt;&gt; MONTH(DATE($F$2, $H$2, 1)), "",
    TRUE, $B59
)</f>
        <v>김대화</v>
      </c>
      <c r="I59" s="75" t="str" cm="1">
        <f t="array" ref="I59">_xlfn.IFS(
     AND(I$51 &gt; $O$91, $N$91 = $B59), "",
    I$51 = $E32, $B59,
    I$51 = $F32, $B59,
    I$51 = $G32, $B59,
    I$51 = $H32, $B59,
    WEEKDAY(I$51, 1) = $C72, "",
    WEEKDAY(I$51, 1) = $D72, "",
    I$51 = $E46, "",
    I$51 = $F46, "",
    I$51 = $G46, "",
    I$51 = $H46, "",
    I$51 = $I46, "",
    I$51 = $J46, "",
    I$51 = $K46, "",
    I$51 = $L46, "",
    I$51 = $M46, "",
    I$51 = $N46, "",
    I$51 = $O46, "",
    I$51 = $P46, "",
    I$51 = $Q46, "",
    MONTH(I$51) &lt;&gt; MONTH(DATE($F$2, $H$2, 1)), "",
    TRUE, $B59
)</f>
        <v>김대화</v>
      </c>
      <c r="J59" s="75" t="str" cm="1">
        <f t="array" ref="J59">_xlfn.IFS(
     AND(J$51 &gt; $O$91, $N$91 = $B59), "",
    J$51 = $E32, $B59,
    J$51 = $F32, $B59,
    J$51 = $G32, $B59,
    J$51 = $H32, $B59,
    WEEKDAY(J$51, 1) = $C72, "",
    WEEKDAY(J$51, 1) = $D72, "",
    J$51 = $E46, "",
    J$51 = $F46, "",
    J$51 = $G46, "",
    J$51 = $H46, "",
    J$51 = $I46, "",
    J$51 = $J46, "",
    J$51 = $K46, "",
    J$51 = $L46, "",
    J$51 = $M46, "",
    J$51 = $N46, "",
    J$51 = $O46, "",
    J$51 = $P46, "",
    J$51 = $Q46, "",
    MONTH(J$51) &lt;&gt; MONTH(DATE($F$2, $H$2, 1)), "",
    TRUE, $B59
)</f>
        <v>김대화</v>
      </c>
      <c r="K59" s="75" t="str" cm="1">
        <f t="array" ref="K59">_xlfn.IFS(
     AND(K$51 &gt; $O$91, $N$91 = $B59), "",
    K$51 = $E32, $B59,
    K$51 = $F32, $B59,
    K$51 = $G32, $B59,
    K$51 = $H32, $B59,
    WEEKDAY(K$51, 1) = $C72, "",
    WEEKDAY(K$51, 1) = $D72, "",
    K$51 = $E46, "",
    K$51 = $F46, "",
    K$51 = $G46, "",
    K$51 = $H46, "",
    K$51 = $I46, "",
    K$51 = $J46, "",
    K$51 = $K46, "",
    K$51 = $L46, "",
    K$51 = $M46, "",
    K$51 = $N46, "",
    K$51 = $O46, "",
    K$51 = $P46, "",
    K$51 = $Q46, "",
    MONTH(K$51) &lt;&gt; MONTH(DATE($F$2, $H$2, 1)), "",
    TRUE, $B59
)</f>
        <v/>
      </c>
      <c r="L59" s="75" t="str" cm="1">
        <f t="array" ref="L59">_xlfn.IFS(
     AND(L$51 &gt; $O$91, $N$91 = $B59), "",
    L$51 = $E32, $B59,
    L$51 = $F32, $B59,
    L$51 = $G32, $B59,
    L$51 = $H32, $B59,
    WEEKDAY(L$51, 1) = $C72, "",
    WEEKDAY(L$51, 1) = $D72, "",
    L$51 = $E46, "",
    L$51 = $F46, "",
    L$51 = $G46, "",
    L$51 = $H46, "",
    L$51 = $I46, "",
    L$51 = $J46, "",
    L$51 = $K46, "",
    L$51 = $L46, "",
    L$51 = $M46, "",
    L$51 = $N46, "",
    L$51 = $O46, "",
    L$51 = $P46, "",
    L$51 = $Q46, "",
    MONTH(L$51) &lt;&gt; MONTH(DATE($F$2, $H$2, 1)), "",
    TRUE, $B59
)</f>
        <v/>
      </c>
      <c r="M59" s="75" t="str" cm="1">
        <f t="array" ref="M59">_xlfn.IFS(
     AND(M$51 &gt; $O$91, $N$91 = $B59), "",
    M$51 = $E32, $B59,
    M$51 = $F32, $B59,
    M$51 = $G32, $B59,
    M$51 = $H32, $B59,
    WEEKDAY(M$51, 1) = $C72, "",
    WEEKDAY(M$51, 1) = $D72, "",
    M$51 = $E46, "",
    M$51 = $F46, "",
    M$51 = $G46, "",
    M$51 = $H46, "",
    M$51 = $I46, "",
    M$51 = $J46, "",
    M$51 = $K46, "",
    M$51 = $L46, "",
    M$51 = $M46, "",
    M$51 = $N46, "",
    M$51 = $O46, "",
    M$51 = $P46, "",
    M$51 = $Q46, "",
    MONTH(M$51) &lt;&gt; MONTH(DATE($F$2, $H$2, 1)), "",
    TRUE, $B59
)</f>
        <v/>
      </c>
      <c r="N59" s="75" t="str" cm="1">
        <f t="array" ref="N59">_xlfn.IFS(
     AND(N$51 &gt; $O$91, $N$91 = $B59), "",
    N$51 = $E32, $B59,
    N$51 = $F32, $B59,
    N$51 = $G32, $B59,
    N$51 = $H32, $B59,
    WEEKDAY(N$51, 1) = $C72, "",
    WEEKDAY(N$51, 1) = $D72, "",
    N$51 = $E46, "",
    N$51 = $F46, "",
    N$51 = $G46, "",
    N$51 = $H46, "",
    N$51 = $I46, "",
    N$51 = $J46, "",
    N$51 = $K46, "",
    N$51 = $L46, "",
    N$51 = $M46, "",
    N$51 = $N46, "",
    N$51 = $O46, "",
    N$51 = $P46, "",
    N$51 = $Q46, "",
    MONTH(N$51) &lt;&gt; MONTH(DATE($F$2, $H$2, 1)), "",
    TRUE, $B59
)</f>
        <v>김대화</v>
      </c>
      <c r="O59" s="75" t="str" cm="1">
        <f t="array" ref="O59">_xlfn.IFS(
     AND(O$51 &gt; $O$91, $N$91 = $B59), "",
    O$51 = $E32, $B59,
    O$51 = $F32, $B59,
    O$51 = $G32, $B59,
    O$51 = $H32, $B59,
    WEEKDAY(O$51, 1) = $C72, "",
    WEEKDAY(O$51, 1) = $D72, "",
    O$51 = $E46, "",
    O$51 = $F46, "",
    O$51 = $G46, "",
    O$51 = $H46, "",
    O$51 = $I46, "",
    O$51 = $J46, "",
    O$51 = $K46, "",
    O$51 = $L46, "",
    O$51 = $M46, "",
    O$51 = $N46, "",
    O$51 = $O46, "",
    O$51 = $P46, "",
    O$51 = $Q46, "",
    MONTH(O$51) &lt;&gt; MONTH(DATE($F$2, $H$2, 1)), "",
    TRUE, $B59
)</f>
        <v>김대화</v>
      </c>
      <c r="P59" s="75" t="str" cm="1">
        <f t="array" ref="P59">_xlfn.IFS(
     AND(P$51 &gt; $O$91, $N$91 = $B59), "",
    P$51 = $E32, $B59,
    P$51 = $F32, $B59,
    P$51 = $G32, $B59,
    P$51 = $H32, $B59,
    WEEKDAY(P$51, 1) = $C72, "",
    WEEKDAY(P$51, 1) = $D72, "",
    P$51 = $E46, "",
    P$51 = $F46, "",
    P$51 = $G46, "",
    P$51 = $H46, "",
    P$51 = $I46, "",
    P$51 = $J46, "",
    P$51 = $K46, "",
    P$51 = $L46, "",
    P$51 = $M46, "",
    P$51 = $N46, "",
    P$51 = $O46, "",
    P$51 = $P46, "",
    P$51 = $Q46, "",
    MONTH(P$51) &lt;&gt; MONTH(DATE($F$2, $H$2, 1)), "",
    TRUE, $B59
)</f>
        <v>김대화</v>
      </c>
      <c r="Q59" s="75" t="str" cm="1">
        <f t="array" ref="Q59">_xlfn.IFS(
     AND(Q$51 &gt; $O$91, $N$91 = $B59), "",
    Q$51 = $E32, $B59,
    Q$51 = $F32, $B59,
    Q$51 = $G32, $B59,
    Q$51 = $H32, $B59,
    WEEKDAY(Q$51, 1) = $C72, "",
    WEEKDAY(Q$51, 1) = $D72, "",
    Q$51 = $E46, "",
    Q$51 = $F46, "",
    Q$51 = $G46, "",
    Q$51 = $H46, "",
    Q$51 = $I46, "",
    Q$51 = $J46, "",
    Q$51 = $K46, "",
    Q$51 = $L46, "",
    Q$51 = $M46, "",
    Q$51 = $N46, "",
    Q$51 = $O46, "",
    Q$51 = $P46, "",
    Q$51 = $Q46, "",
    MONTH(Q$51) &lt;&gt; MONTH(DATE($F$2, $H$2, 1)), "",
    TRUE, $B59
)</f>
        <v>김대화</v>
      </c>
      <c r="R59" s="75" t="str" cm="1">
        <f t="array" ref="R59">_xlfn.IFS(
     AND(R$51 &gt; $O$91, $N$91 = $B59), "",
    R$51 = $E32, $B59,
    R$51 = $F32, $B59,
    R$51 = $G32, $B59,
    R$51 = $H32, $B59,
    WEEKDAY(R$51, 1) = $C72, "",
    WEEKDAY(R$51, 1) = $D72, "",
    R$51 = $E46, "",
    R$51 = $F46, "",
    R$51 = $G46, "",
    R$51 = $H46, "",
    R$51 = $I46, "",
    R$51 = $J46, "",
    R$51 = $K46, "",
    R$51 = $L46, "",
    R$51 = $M46, "",
    R$51 = $N46, "",
    R$51 = $O46, "",
    R$51 = $P46, "",
    R$51 = $Q46, "",
    MONTH(R$51) &lt;&gt; MONTH(DATE($F$2, $H$2, 1)), "",
    TRUE, $B59
)</f>
        <v>김대화</v>
      </c>
      <c r="S59" s="75" t="str" cm="1">
        <f t="array" ref="S59">_xlfn.IFS(
     AND(S$51 &gt; $O$91, $N$91 = $B59), "",
    S$51 = $E32, $B59,
    S$51 = $F32, $B59,
    S$51 = $G32, $B59,
    S$51 = $H32, $B59,
    WEEKDAY(S$51, 1) = $C72, "",
    WEEKDAY(S$51, 1) = $D72, "",
    S$51 = $E46, "",
    S$51 = $F46, "",
    S$51 = $G46, "",
    S$51 = $H46, "",
    S$51 = $I46, "",
    S$51 = $J46, "",
    S$51 = $K46, "",
    S$51 = $L46, "",
    S$51 = $M46, "",
    S$51 = $N46, "",
    S$51 = $O46, "",
    S$51 = $P46, "",
    S$51 = $Q46, "",
    MONTH(S$51) &lt;&gt; MONTH(DATE($F$2, $H$2, 1)), "",
    TRUE, $B59
)</f>
        <v/>
      </c>
      <c r="T59" s="75" t="str" cm="1">
        <f t="array" ref="T59">_xlfn.IFS(
     AND(T$51 &gt; $O$91, $N$91 = $B59), "",
    T$51 = $E32, $B59,
    T$51 = $F32, $B59,
    T$51 = $G32, $B59,
    T$51 = $H32, $B59,
    WEEKDAY(T$51, 1) = $C72, "",
    WEEKDAY(T$51, 1) = $D72, "",
    T$51 = $E46, "",
    T$51 = $F46, "",
    T$51 = $G46, "",
    T$51 = $H46, "",
    T$51 = $I46, "",
    T$51 = $J46, "",
    T$51 = $K46, "",
    T$51 = $L46, "",
    T$51 = $M46, "",
    T$51 = $N46, "",
    T$51 = $O46, "",
    T$51 = $P46, "",
    T$51 = $Q46, "",
    MONTH(T$51) &lt;&gt; MONTH(DATE($F$2, $H$2, 1)), "",
    TRUE, $B59
)</f>
        <v/>
      </c>
      <c r="U59" s="75" t="str" cm="1">
        <f t="array" ref="U59">_xlfn.IFS(
     AND(U$51 &gt; $O$91, $N$91 = $B59), "",
    U$51 = $E32, $B59,
    U$51 = $F32, $B59,
    U$51 = $G32, $B59,
    U$51 = $H32, $B59,
    WEEKDAY(U$51, 1) = $C72, "",
    WEEKDAY(U$51, 1) = $D72, "",
    U$51 = $E46, "",
    U$51 = $F46, "",
    U$51 = $G46, "",
    U$51 = $H46, "",
    U$51 = $I46, "",
    U$51 = $J46, "",
    U$51 = $K46, "",
    U$51 = $L46, "",
    U$51 = $M46, "",
    U$51 = $N46, "",
    U$51 = $O46, "",
    U$51 = $P46, "",
    U$51 = $Q46, "",
    MONTH(U$51) &lt;&gt; MONTH(DATE($F$2, $H$2, 1)), "",
    TRUE, $B59
)</f>
        <v>김대화</v>
      </c>
      <c r="V59" s="75" t="str" cm="1">
        <f t="array" ref="V59">_xlfn.IFS(
     AND(V$51 &gt; $O$91, $N$91 = $B59), "",
    V$51 = $E32, $B59,
    V$51 = $F32, $B59,
    V$51 = $G32, $B59,
    V$51 = $H32, $B59,
    WEEKDAY(V$51, 1) = $C72, "",
    WEEKDAY(V$51, 1) = $D72, "",
    V$51 = $E46, "",
    V$51 = $F46, "",
    V$51 = $G46, "",
    V$51 = $H46, "",
    V$51 = $I46, "",
    V$51 = $J46, "",
    V$51 = $K46, "",
    V$51 = $L46, "",
    V$51 = $M46, "",
    V$51 = $N46, "",
    V$51 = $O46, "",
    V$51 = $P46, "",
    V$51 = $Q46, "",
    MONTH(V$51) &lt;&gt; MONTH(DATE($F$2, $H$2, 1)), "",
    TRUE, $B59
)</f>
        <v>김대화</v>
      </c>
      <c r="W59" s="75" t="str" cm="1">
        <f t="array" ref="W59">_xlfn.IFS(
     AND(W$51 &gt; $O$91, $N$91 = $B59), "",
    W$51 = $E32, $B59,
    W$51 = $F32, $B59,
    W$51 = $G32, $B59,
    W$51 = $H32, $B59,
    WEEKDAY(W$51, 1) = $C72, "",
    WEEKDAY(W$51, 1) = $D72, "",
    W$51 = $E46, "",
    W$51 = $F46, "",
    W$51 = $G46, "",
    W$51 = $H46, "",
    W$51 = $I46, "",
    W$51 = $J46, "",
    W$51 = $K46, "",
    W$51 = $L46, "",
    W$51 = $M46, "",
    W$51 = $N46, "",
    W$51 = $O46, "",
    W$51 = $P46, "",
    W$51 = $Q46, "",
    MONTH(W$51) &lt;&gt; MONTH(DATE($F$2, $H$2, 1)), "",
    TRUE, $B59
)</f>
        <v>김대화</v>
      </c>
      <c r="X59" s="75" t="str" cm="1">
        <f t="array" ref="X59">_xlfn.IFS(
     AND(X$51 &gt; $O$91, $N$91 = $B59), "",
    X$51 = $E32, $B59,
    X$51 = $F32, $B59,
    X$51 = $G32, $B59,
    X$51 = $H32, $B59,
    WEEKDAY(X$51, 1) = $C72, "",
    WEEKDAY(X$51, 1) = $D72, "",
    X$51 = $E46, "",
    X$51 = $F46, "",
    X$51 = $G46, "",
    X$51 = $H46, "",
    X$51 = $I46, "",
    X$51 = $J46, "",
    X$51 = $K46, "",
    X$51 = $L46, "",
    X$51 = $M46, "",
    X$51 = $N46, "",
    X$51 = $O46, "",
    X$51 = $P46, "",
    X$51 = $Q46, "",
    MONTH(X$51) &lt;&gt; MONTH(DATE($F$2, $H$2, 1)), "",
    TRUE, $B59
)</f>
        <v>김대화</v>
      </c>
      <c r="Y59" s="75" t="str" cm="1">
        <f t="array" ref="Y59">_xlfn.IFS(
     AND(Y$51 &gt; $O$91, $N$91 = $B59), "",
    Y$51 = $E32, $B59,
    Y$51 = $F32, $B59,
    Y$51 = $G32, $B59,
    Y$51 = $H32, $B59,
    WEEKDAY(Y$51, 1) = $C72, "",
    WEEKDAY(Y$51, 1) = $D72, "",
    Y$51 = $E46, "",
    Y$51 = $F46, "",
    Y$51 = $G46, "",
    Y$51 = $H46, "",
    Y$51 = $I46, "",
    Y$51 = $J46, "",
    Y$51 = $K46, "",
    Y$51 = $L46, "",
    Y$51 = $M46, "",
    Y$51 = $N46, "",
    Y$51 = $O46, "",
    Y$51 = $P46, "",
    Y$51 = $Q46, "",
    MONTH(Y$51) &lt;&gt; MONTH(DATE($F$2, $H$2, 1)), "",
    TRUE, $B59
)</f>
        <v>김대화</v>
      </c>
      <c r="Z59" s="75" t="str" cm="1">
        <f t="array" ref="Z59">_xlfn.IFS(
     AND(Z$51 &gt; $O$91, $N$91 = $B59), "",
    Z$51 = $E32, $B59,
    Z$51 = $F32, $B59,
    Z$51 = $G32, $B59,
    Z$51 = $H32, $B59,
    WEEKDAY(Z$51, 1) = $C72, "",
    WEEKDAY(Z$51, 1) = $D72, "",
    Z$51 = $E46, "",
    Z$51 = $F46, "",
    Z$51 = $G46, "",
    Z$51 = $H46, "",
    Z$51 = $I46, "",
    Z$51 = $J46, "",
    Z$51 = $K46, "",
    Z$51 = $L46, "",
    Z$51 = $M46, "",
    Z$51 = $N46, "",
    Z$51 = $O46, "",
    Z$51 = $P46, "",
    Z$51 = $Q46, "",
    MONTH(Z$51) &lt;&gt; MONTH(DATE($F$2, $H$2, 1)), "",
    TRUE, $B59
)</f>
        <v/>
      </c>
      <c r="AA59" s="75" t="str" cm="1">
        <f t="array" ref="AA59">_xlfn.IFS(
     AND(AA$51 &gt; $O$91, $N$91 = $B59), "",
    AA$51 = $E32, $B59,
    AA$51 = $F32, $B59,
    AA$51 = $G32, $B59,
    AA$51 = $H32, $B59,
    WEEKDAY(AA$51, 1) = $C72, "",
    WEEKDAY(AA$51, 1) = $D72, "",
    AA$51 = $E46, "",
    AA$51 = $F46, "",
    AA$51 = $G46, "",
    AA$51 = $H46, "",
    AA$51 = $I46, "",
    AA$51 = $J46, "",
    AA$51 = $K46, "",
    AA$51 = $L46, "",
    AA$51 = $M46, "",
    AA$51 = $N46, "",
    AA$51 = $O46, "",
    AA$51 = $P46, "",
    AA$51 = $Q46, "",
    MONTH(AA$51) &lt;&gt; MONTH(DATE($F$2, $H$2, 1)), "",
    TRUE, $B59
)</f>
        <v/>
      </c>
      <c r="AB59" s="75" t="str" cm="1">
        <f t="array" ref="AB59">_xlfn.IFS(
     AND(AB$51 &gt; $O$91, $N$91 = $B59), "",
    AB$51 = $E32, $B59,
    AB$51 = $F32, $B59,
    AB$51 = $G32, $B59,
    AB$51 = $H32, $B59,
    WEEKDAY(AB$51, 1) = $C72, "",
    WEEKDAY(AB$51, 1) = $D72, "",
    AB$51 = $E46, "",
    AB$51 = $F46, "",
    AB$51 = $G46, "",
    AB$51 = $H46, "",
    AB$51 = $I46, "",
    AB$51 = $J46, "",
    AB$51 = $K46, "",
    AB$51 = $L46, "",
    AB$51 = $M46, "",
    AB$51 = $N46, "",
    AB$51 = $O46, "",
    AB$51 = $P46, "",
    AB$51 = $Q46, "",
    MONTH(AB$51) &lt;&gt; MONTH(DATE($F$2, $H$2, 1)), "",
    TRUE, $B59
)</f>
        <v>김대화</v>
      </c>
      <c r="AC59" s="75" t="str" cm="1">
        <f t="array" ref="AC59">_xlfn.IFS(
     AND(AC$51 &gt; $O$91, $N$91 = $B59), "",
    AC$51 = $E32, $B59,
    AC$51 = $F32, $B59,
    AC$51 = $G32, $B59,
    AC$51 = $H32, $B59,
    WEEKDAY(AC$51, 1) = $C72, "",
    WEEKDAY(AC$51, 1) = $D72, "",
    AC$51 = $E46, "",
    AC$51 = $F46, "",
    AC$51 = $G46, "",
    AC$51 = $H46, "",
    AC$51 = $I46, "",
    AC$51 = $J46, "",
    AC$51 = $K46, "",
    AC$51 = $L46, "",
    AC$51 = $M46, "",
    AC$51 = $N46, "",
    AC$51 = $O46, "",
    AC$51 = $P46, "",
    AC$51 = $Q46, "",
    MONTH(AC$51) &lt;&gt; MONTH(DATE($F$2, $H$2, 1)), "",
    TRUE, $B59
)</f>
        <v>김대화</v>
      </c>
      <c r="AD59" s="75" t="str" cm="1">
        <f t="array" ref="AD59">_xlfn.IFS(
     AND(AD$51 &gt; $O$91, $N$91 = $B59), "",
    AD$51 = $E32, $B59,
    AD$51 = $F32, $B59,
    AD$51 = $G32, $B59,
    AD$51 = $H32, $B59,
    WEEKDAY(AD$51, 1) = $C72, "",
    WEEKDAY(AD$51, 1) = $D72, "",
    AD$51 = $E46, "",
    AD$51 = $F46, "",
    AD$51 = $G46, "",
    AD$51 = $H46, "",
    AD$51 = $I46, "",
    AD$51 = $J46, "",
    AD$51 = $K46, "",
    AD$51 = $L46, "",
    AD$51 = $M46, "",
    AD$51 = $N46, "",
    AD$51 = $O46, "",
    AD$51 = $P46, "",
    AD$51 = $Q46, "",
    MONTH(AD$51) &lt;&gt; MONTH(DATE($F$2, $H$2, 1)), "",
    TRUE, $B59
)</f>
        <v>김대화</v>
      </c>
      <c r="AE59" s="75" t="str" cm="1">
        <f t="array" ref="AE59">_xlfn.IFS(
     AND(AE$51 &gt; $O$91, $N$91 = $B59), "",
    AE$51 = $E32, $B59,
    AE$51 = $F32, $B59,
    AE$51 = $G32, $B59,
    AE$51 = $H32, $B59,
    WEEKDAY(AE$51, 1) = $C72, "",
    WEEKDAY(AE$51, 1) = $D72, "",
    AE$51 = $E46, "",
    AE$51 = $F46, "",
    AE$51 = $G46, "",
    AE$51 = $H46, "",
    AE$51 = $I46, "",
    AE$51 = $J46, "",
    AE$51 = $K46, "",
    AE$51 = $L46, "",
    AE$51 = $M46, "",
    AE$51 = $N46, "",
    AE$51 = $O46, "",
    AE$51 = $P46, "",
    AE$51 = $Q46, "",
    MONTH(AE$51) &lt;&gt; MONTH(DATE($F$2, $H$2, 1)), "",
    TRUE, $B59
)</f>
        <v>김대화</v>
      </c>
      <c r="AF59" s="75" t="str" cm="1">
        <f t="array" ref="AF59">_xlfn.IFS(
     AND(AF$51 &gt; $O$91, $N$91 = $B59), "",
    AF$51 = $E32, $B59,
    AF$51 = $F32, $B59,
    AF$51 = $G32, $B59,
    AF$51 = $H32, $B59,
    WEEKDAY(AF$51, 1) = $C72, "",
    WEEKDAY(AF$51, 1) = $D72, "",
    AF$51 = $E46, "",
    AF$51 = $F46, "",
    AF$51 = $G46, "",
    AF$51 = $H46, "",
    AF$51 = $I46, "",
    AF$51 = $J46, "",
    AF$51 = $K46, "",
    AF$51 = $L46, "",
    AF$51 = $M46, "",
    AF$51 = $N46, "",
    AF$51 = $O46, "",
    AF$51 = $P46, "",
    AF$51 = $Q46, "",
    MONTH(AF$51) &lt;&gt; MONTH(DATE($F$2, $H$2, 1)), "",
    TRUE, $B59
)</f>
        <v>김대화</v>
      </c>
      <c r="AG59" s="75" t="str" cm="1">
        <f t="array" ref="AG59">_xlfn.IFS(
     AND(AG$51 &gt; $O$91, $N$91 = $B59), "",
    AG$51 = $E32, $B59,
    AG$51 = $F32, $B59,
    AG$51 = $G32, $B59,
    AG$51 = $H32, $B59,
    WEEKDAY(AG$51, 1) = $C72, "",
    WEEKDAY(AG$51, 1) = $D72, "",
    AG$51 = $E46, "",
    AG$51 = $F46, "",
    AG$51 = $G46, "",
    AG$51 = $H46, "",
    AG$51 = $I46, "",
    AG$51 = $J46, "",
    AG$51 = $K46, "",
    AG$51 = $L46, "",
    AG$51 = $M46, "",
    AG$51 = $N46, "",
    AG$51 = $O46, "",
    AG$51 = $P46, "",
    AG$51 = $Q46, "",
    MONTH(AG$51) &lt;&gt; MONTH(DATE($F$2, $H$2, 1)), "",
    TRUE, $B59
)</f>
        <v/>
      </c>
    </row>
    <row r="60" spans="1:33" ht="16.2" hidden="1" customHeight="1" x14ac:dyDescent="0.25">
      <c r="A60" s="9">
        <v>8</v>
      </c>
      <c r="B60" s="2" t="str">
        <f>이름기초!$B$18</f>
        <v>김제원</v>
      </c>
      <c r="C60" s="75" t="str" cm="1">
        <f t="array" ref="C60">_xlfn.IFS(
     AND(C$51 &gt; $O$91, $N$91 = $B60), "",
    C$51 = $E33, $B60,
    C$51 = $F33, $B60,
    C$51 = $G33, $B60,
    C$51 = $H33, $B60,
    WEEKDAY(C$51, 1) = $C73, "",
    WEEKDAY(C$51, 1) = $D73, "",
    C$51 = $E47, "",
    C$51 = $F47, "",
    C$51 = $G47, "",
    C$51 = $H47, "",
    C$51 = $I47, "",
    C$51 = $J47, "",
    C$51 = $K47, "",
    C$51 = $L47, "",
    C$51 = $M47, "",
    C$51 = $N47, "",
    C$51 = $O47, "",
    C$51 = $P47, "",
    C$51 = $Q47, "",
    MONTH(C$51) &lt;&gt; MONTH(DATE($F$2, $H$2, 1)), "",
    TRUE, $B60
)</f>
        <v/>
      </c>
      <c r="D60" s="75" t="str" cm="1">
        <f t="array" ref="D60">_xlfn.IFS(
     AND(D$51 &gt; $O$91, $N$91 = $B60), "",
    D$51 = $E33, $B60,
    D$51 = $F33, $B60,
    D$51 = $G33, $B60,
    D$51 = $H33, $B60,
    WEEKDAY(D$51, 1) = $C73, "",
    WEEKDAY(D$51, 1) = $D73, "",
    D$51 = $E47, "",
    D$51 = $F47, "",
    D$51 = $G47, "",
    D$51 = $H47, "",
    D$51 = $I47, "",
    D$51 = $J47, "",
    D$51 = $K47, "",
    D$51 = $L47, "",
    D$51 = $M47, "",
    D$51 = $N47, "",
    D$51 = $O47, "",
    D$51 = $P47, "",
    D$51 = $Q47, "",
    MONTH(D$51) &lt;&gt; MONTH(DATE($F$2, $H$2, 1)), "",
    TRUE, $B60
)</f>
        <v>김제원</v>
      </c>
      <c r="E60" s="75" t="str" cm="1">
        <f t="array" ref="E60">_xlfn.IFS(
     AND(E$51 &gt; $O$91, $N$91 = $B60), "",
    E$51 = $E33, $B60,
    E$51 = $F33, $B60,
    E$51 = $G33, $B60,
    E$51 = $H33, $B60,
    WEEKDAY(E$51, 1) = $C73, "",
    WEEKDAY(E$51, 1) = $D73, "",
    E$51 = $E47, "",
    E$51 = $F47, "",
    E$51 = $G47, "",
    E$51 = $H47, "",
    E$51 = $I47, "",
    E$51 = $J47, "",
    E$51 = $K47, "",
    E$51 = $L47, "",
    E$51 = $M47, "",
    E$51 = $N47, "",
    E$51 = $O47, "",
    E$51 = $P47, "",
    E$51 = $Q47, "",
    MONTH(E$51) &lt;&gt; MONTH(DATE($F$2, $H$2, 1)), "",
    TRUE, $B60
)</f>
        <v>김제원</v>
      </c>
      <c r="F60" s="75" t="str" cm="1">
        <f t="array" ref="F60">_xlfn.IFS(
     AND(F$51 &gt; $O$91, $N$91 = $B60), "",
    F$51 = $E33, $B60,
    F$51 = $F33, $B60,
    F$51 = $G33, $B60,
    F$51 = $H33, $B60,
    WEEKDAY(F$51, 1) = $C73, "",
    WEEKDAY(F$51, 1) = $D73, "",
    F$51 = $E47, "",
    F$51 = $F47, "",
    F$51 = $G47, "",
    F$51 = $H47, "",
    F$51 = $I47, "",
    F$51 = $J47, "",
    F$51 = $K47, "",
    F$51 = $L47, "",
    F$51 = $M47, "",
    F$51 = $N47, "",
    F$51 = $O47, "",
    F$51 = $P47, "",
    F$51 = $Q47, "",
    MONTH(F$51) &lt;&gt; MONTH(DATE($F$2, $H$2, 1)), "",
    TRUE, $B60
)</f>
        <v>김제원</v>
      </c>
      <c r="G60" s="75" t="str" cm="1">
        <f t="array" ref="G60">_xlfn.IFS(
     AND(G$51 &gt; $O$91, $N$91 = $B60), "",
    G$51 = $E33, $B60,
    G$51 = $F33, $B60,
    G$51 = $G33, $B60,
    G$51 = $H33, $B60,
    WEEKDAY(G$51, 1) = $C73, "",
    WEEKDAY(G$51, 1) = $D73, "",
    G$51 = $E47, "",
    G$51 = $F47, "",
    G$51 = $G47, "",
    G$51 = $H47, "",
    G$51 = $I47, "",
    G$51 = $J47, "",
    G$51 = $K47, "",
    G$51 = $L47, "",
    G$51 = $M47, "",
    G$51 = $N47, "",
    G$51 = $O47, "",
    G$51 = $P47, "",
    G$51 = $Q47, "",
    MONTH(G$51) &lt;&gt; MONTH(DATE($F$2, $H$2, 1)), "",
    TRUE, $B60
)</f>
        <v>김제원</v>
      </c>
      <c r="H60" s="75" t="str" cm="1">
        <f t="array" ref="H60">_xlfn.IFS(
     AND(H$51 &gt; $O$91, $N$91 = $B60), "",
    H$51 = $E33, $B60,
    H$51 = $F33, $B60,
    H$51 = $G33, $B60,
    H$51 = $H33, $B60,
    WEEKDAY(H$51, 1) = $C73, "",
    WEEKDAY(H$51, 1) = $D73, "",
    H$51 = $E47, "",
    H$51 = $F47, "",
    H$51 = $G47, "",
    H$51 = $H47, "",
    H$51 = $I47, "",
    H$51 = $J47, "",
    H$51 = $K47, "",
    H$51 = $L47, "",
    H$51 = $M47, "",
    H$51 = $N47, "",
    H$51 = $O47, "",
    H$51 = $P47, "",
    H$51 = $Q47, "",
    MONTH(H$51) &lt;&gt; MONTH(DATE($F$2, $H$2, 1)), "",
    TRUE, $B60
)</f>
        <v/>
      </c>
      <c r="I60" s="75" t="str" cm="1">
        <f t="array" ref="I60">_xlfn.IFS(
     AND(I$51 &gt; $O$91, $N$91 = $B60), "",
    I$51 = $E33, $B60,
    I$51 = $F33, $B60,
    I$51 = $G33, $B60,
    I$51 = $H33, $B60,
    WEEKDAY(I$51, 1) = $C73, "",
    WEEKDAY(I$51, 1) = $D73, "",
    I$51 = $E47, "",
    I$51 = $F47, "",
    I$51 = $G47, "",
    I$51 = $H47, "",
    I$51 = $I47, "",
    I$51 = $J47, "",
    I$51 = $K47, "",
    I$51 = $L47, "",
    I$51 = $M47, "",
    I$51 = $N47, "",
    I$51 = $O47, "",
    I$51 = $P47, "",
    I$51 = $Q47, "",
    MONTH(I$51) &lt;&gt; MONTH(DATE($F$2, $H$2, 1)), "",
    TRUE, $B60
)</f>
        <v/>
      </c>
      <c r="J60" s="75" t="str" cm="1">
        <f t="array" ref="J60">_xlfn.IFS(
     AND(J$51 &gt; $O$91, $N$91 = $B60), "",
    J$51 = $E33, $B60,
    J$51 = $F33, $B60,
    J$51 = $G33, $B60,
    J$51 = $H33, $B60,
    WEEKDAY(J$51, 1) = $C73, "",
    WEEKDAY(J$51, 1) = $D73, "",
    J$51 = $E47, "",
    J$51 = $F47, "",
    J$51 = $G47, "",
    J$51 = $H47, "",
    J$51 = $I47, "",
    J$51 = $J47, "",
    J$51 = $K47, "",
    J$51 = $L47, "",
    J$51 = $M47, "",
    J$51 = $N47, "",
    J$51 = $O47, "",
    J$51 = $P47, "",
    J$51 = $Q47, "",
    MONTH(J$51) &lt;&gt; MONTH(DATE($F$2, $H$2, 1)), "",
    TRUE, $B60
)</f>
        <v/>
      </c>
      <c r="K60" s="75" t="str" cm="1">
        <f t="array" ref="K60">_xlfn.IFS(
     AND(K$51 &gt; $O$91, $N$91 = $B60), "",
    K$51 = $E33, $B60,
    K$51 = $F33, $B60,
    K$51 = $G33, $B60,
    K$51 = $H33, $B60,
    WEEKDAY(K$51, 1) = $C73, "",
    WEEKDAY(K$51, 1) = $D73, "",
    K$51 = $E47, "",
    K$51 = $F47, "",
    K$51 = $G47, "",
    K$51 = $H47, "",
    K$51 = $I47, "",
    K$51 = $J47, "",
    K$51 = $K47, "",
    K$51 = $L47, "",
    K$51 = $M47, "",
    K$51 = $N47, "",
    K$51 = $O47, "",
    K$51 = $P47, "",
    K$51 = $Q47, "",
    MONTH(K$51) &lt;&gt; MONTH(DATE($F$2, $H$2, 1)), "",
    TRUE, $B60
)</f>
        <v>김제원</v>
      </c>
      <c r="L60" s="75" t="str" cm="1">
        <f t="array" ref="L60">_xlfn.IFS(
     AND(L$51 &gt; $O$91, $N$91 = $B60), "",
    L$51 = $E33, $B60,
    L$51 = $F33, $B60,
    L$51 = $G33, $B60,
    L$51 = $H33, $B60,
    WEEKDAY(L$51, 1) = $C73, "",
    WEEKDAY(L$51, 1) = $D73, "",
    L$51 = $E47, "",
    L$51 = $F47, "",
    L$51 = $G47, "",
    L$51 = $H47, "",
    L$51 = $I47, "",
    L$51 = $J47, "",
    L$51 = $K47, "",
    L$51 = $L47, "",
    L$51 = $M47, "",
    L$51 = $N47, "",
    L$51 = $O47, "",
    L$51 = $P47, "",
    L$51 = $Q47, "",
    MONTH(L$51) &lt;&gt; MONTH(DATE($F$2, $H$2, 1)), "",
    TRUE, $B60
)</f>
        <v>김제원</v>
      </c>
      <c r="M60" s="75" t="str" cm="1">
        <f t="array" ref="M60">_xlfn.IFS(
     AND(M$51 &gt; $O$91, $N$91 = $B60), "",
    M$51 = $E33, $B60,
    M$51 = $F33, $B60,
    M$51 = $G33, $B60,
    M$51 = $H33, $B60,
    WEEKDAY(M$51, 1) = $C73, "",
    WEEKDAY(M$51, 1) = $D73, "",
    M$51 = $E47, "",
    M$51 = $F47, "",
    M$51 = $G47, "",
    M$51 = $H47, "",
    M$51 = $I47, "",
    M$51 = $J47, "",
    M$51 = $K47, "",
    M$51 = $L47, "",
    M$51 = $M47, "",
    M$51 = $N47, "",
    M$51 = $O47, "",
    M$51 = $P47, "",
    M$51 = $Q47, "",
    MONTH(M$51) &lt;&gt; MONTH(DATE($F$2, $H$2, 1)), "",
    TRUE, $B60
)</f>
        <v>김제원</v>
      </c>
      <c r="N60" s="75" t="str" cm="1">
        <f t="array" ref="N60">_xlfn.IFS(
     AND(N$51 &gt; $O$91, $N$91 = $B60), "",
    N$51 = $E33, $B60,
    N$51 = $F33, $B60,
    N$51 = $G33, $B60,
    N$51 = $H33, $B60,
    WEEKDAY(N$51, 1) = $C73, "",
    WEEKDAY(N$51, 1) = $D73, "",
    N$51 = $E47, "",
    N$51 = $F47, "",
    N$51 = $G47, "",
    N$51 = $H47, "",
    N$51 = $I47, "",
    N$51 = $J47, "",
    N$51 = $K47, "",
    N$51 = $L47, "",
    N$51 = $M47, "",
    N$51 = $N47, "",
    N$51 = $O47, "",
    N$51 = $P47, "",
    N$51 = $Q47, "",
    MONTH(N$51) &lt;&gt; MONTH(DATE($F$2, $H$2, 1)), "",
    TRUE, $B60
)</f>
        <v>김제원</v>
      </c>
      <c r="O60" s="75" t="str" cm="1">
        <f t="array" ref="O60">_xlfn.IFS(
     AND(O$51 &gt; $O$91, $N$91 = $B60), "",
    O$51 = $E33, $B60,
    O$51 = $F33, $B60,
    O$51 = $G33, $B60,
    O$51 = $H33, $B60,
    WEEKDAY(O$51, 1) = $C73, "",
    WEEKDAY(O$51, 1) = $D73, "",
    O$51 = $E47, "",
    O$51 = $F47, "",
    O$51 = $G47, "",
    O$51 = $H47, "",
    O$51 = $I47, "",
    O$51 = $J47, "",
    O$51 = $K47, "",
    O$51 = $L47, "",
    O$51 = $M47, "",
    O$51 = $N47, "",
    O$51 = $O47, "",
    O$51 = $P47, "",
    O$51 = $Q47, "",
    MONTH(O$51) &lt;&gt; MONTH(DATE($F$2, $H$2, 1)), "",
    TRUE, $B60
)</f>
        <v>김제원</v>
      </c>
      <c r="P60" s="75" t="str" cm="1">
        <f t="array" ref="P60">_xlfn.IFS(
     AND(P$51 &gt; $O$91, $N$91 = $B60), "",
    P$51 = $E33, $B60,
    P$51 = $F33, $B60,
    P$51 = $G33, $B60,
    P$51 = $H33, $B60,
    WEEKDAY(P$51, 1) = $C73, "",
    WEEKDAY(P$51, 1) = $D73, "",
    P$51 = $E47, "",
    P$51 = $F47, "",
    P$51 = $G47, "",
    P$51 = $H47, "",
    P$51 = $I47, "",
    P$51 = $J47, "",
    P$51 = $K47, "",
    P$51 = $L47, "",
    P$51 = $M47, "",
    P$51 = $N47, "",
    P$51 = $O47, "",
    P$51 = $P47, "",
    P$51 = $Q47, "",
    MONTH(P$51) &lt;&gt; MONTH(DATE($F$2, $H$2, 1)), "",
    TRUE, $B60
)</f>
        <v/>
      </c>
      <c r="Q60" s="75" t="str" cm="1">
        <f t="array" ref="Q60">_xlfn.IFS(
     AND(Q$51 &gt; $O$91, $N$91 = $B60), "",
    Q$51 = $E33, $B60,
    Q$51 = $F33, $B60,
    Q$51 = $G33, $B60,
    Q$51 = $H33, $B60,
    WEEKDAY(Q$51, 1) = $C73, "",
    WEEKDAY(Q$51, 1) = $D73, "",
    Q$51 = $E47, "",
    Q$51 = $F47, "",
    Q$51 = $G47, "",
    Q$51 = $H47, "",
    Q$51 = $I47, "",
    Q$51 = $J47, "",
    Q$51 = $K47, "",
    Q$51 = $L47, "",
    Q$51 = $M47, "",
    Q$51 = $N47, "",
    Q$51 = $O47, "",
    Q$51 = $P47, "",
    Q$51 = $Q47, "",
    MONTH(Q$51) &lt;&gt; MONTH(DATE($F$2, $H$2, 1)), "",
    TRUE, $B60
)</f>
        <v/>
      </c>
      <c r="R60" s="75" t="str" cm="1">
        <f t="array" ref="R60">_xlfn.IFS(
     AND(R$51 &gt; $O$91, $N$91 = $B60), "",
    R$51 = $E33, $B60,
    R$51 = $F33, $B60,
    R$51 = $G33, $B60,
    R$51 = $H33, $B60,
    WEEKDAY(R$51, 1) = $C73, "",
    WEEKDAY(R$51, 1) = $D73, "",
    R$51 = $E47, "",
    R$51 = $F47, "",
    R$51 = $G47, "",
    R$51 = $H47, "",
    R$51 = $I47, "",
    R$51 = $J47, "",
    R$51 = $K47, "",
    R$51 = $L47, "",
    R$51 = $M47, "",
    R$51 = $N47, "",
    R$51 = $O47, "",
    R$51 = $P47, "",
    R$51 = $Q47, "",
    MONTH(R$51) &lt;&gt; MONTH(DATE($F$2, $H$2, 1)), "",
    TRUE, $B60
)</f>
        <v/>
      </c>
      <c r="S60" s="75" t="str" cm="1">
        <f t="array" ref="S60">_xlfn.IFS(
     AND(S$51 &gt; $O$91, $N$91 = $B60), "",
    S$51 = $E33, $B60,
    S$51 = $F33, $B60,
    S$51 = $G33, $B60,
    S$51 = $H33, $B60,
    WEEKDAY(S$51, 1) = $C73, "",
    WEEKDAY(S$51, 1) = $D73, "",
    S$51 = $E47, "",
    S$51 = $F47, "",
    S$51 = $G47, "",
    S$51 = $H47, "",
    S$51 = $I47, "",
    S$51 = $J47, "",
    S$51 = $K47, "",
    S$51 = $L47, "",
    S$51 = $M47, "",
    S$51 = $N47, "",
    S$51 = $O47, "",
    S$51 = $P47, "",
    S$51 = $Q47, "",
    MONTH(S$51) &lt;&gt; MONTH(DATE($F$2, $H$2, 1)), "",
    TRUE, $B60
)</f>
        <v>김제원</v>
      </c>
      <c r="T60" s="75" t="str" cm="1">
        <f t="array" ref="T60">_xlfn.IFS(
     AND(T$51 &gt; $O$91, $N$91 = $B60), "",
    T$51 = $E33, $B60,
    T$51 = $F33, $B60,
    T$51 = $G33, $B60,
    T$51 = $H33, $B60,
    WEEKDAY(T$51, 1) = $C73, "",
    WEEKDAY(T$51, 1) = $D73, "",
    T$51 = $E47, "",
    T$51 = $F47, "",
    T$51 = $G47, "",
    T$51 = $H47, "",
    T$51 = $I47, "",
    T$51 = $J47, "",
    T$51 = $K47, "",
    T$51 = $L47, "",
    T$51 = $M47, "",
    T$51 = $N47, "",
    T$51 = $O47, "",
    T$51 = $P47, "",
    T$51 = $Q47, "",
    MONTH(T$51) &lt;&gt; MONTH(DATE($F$2, $H$2, 1)), "",
    TRUE, $B60
)</f>
        <v>김제원</v>
      </c>
      <c r="U60" s="75" t="str" cm="1">
        <f t="array" ref="U60">_xlfn.IFS(
     AND(U$51 &gt; $O$91, $N$91 = $B60), "",
    U$51 = $E33, $B60,
    U$51 = $F33, $B60,
    U$51 = $G33, $B60,
    U$51 = $H33, $B60,
    WEEKDAY(U$51, 1) = $C73, "",
    WEEKDAY(U$51, 1) = $D73, "",
    U$51 = $E47, "",
    U$51 = $F47, "",
    U$51 = $G47, "",
    U$51 = $H47, "",
    U$51 = $I47, "",
    U$51 = $J47, "",
    U$51 = $K47, "",
    U$51 = $L47, "",
    U$51 = $M47, "",
    U$51 = $N47, "",
    U$51 = $O47, "",
    U$51 = $P47, "",
    U$51 = $Q47, "",
    MONTH(U$51) &lt;&gt; MONTH(DATE($F$2, $H$2, 1)), "",
    TRUE, $B60
)</f>
        <v>김제원</v>
      </c>
      <c r="V60" s="75" t="str" cm="1">
        <f t="array" ref="V60">_xlfn.IFS(
     AND(V$51 &gt; $O$91, $N$91 = $B60), "",
    V$51 = $E33, $B60,
    V$51 = $F33, $B60,
    V$51 = $G33, $B60,
    V$51 = $H33, $B60,
    WEEKDAY(V$51, 1) = $C73, "",
    WEEKDAY(V$51, 1) = $D73, "",
    V$51 = $E47, "",
    V$51 = $F47, "",
    V$51 = $G47, "",
    V$51 = $H47, "",
    V$51 = $I47, "",
    V$51 = $J47, "",
    V$51 = $K47, "",
    V$51 = $L47, "",
    V$51 = $M47, "",
    V$51 = $N47, "",
    V$51 = $O47, "",
    V$51 = $P47, "",
    V$51 = $Q47, "",
    MONTH(V$51) &lt;&gt; MONTH(DATE($F$2, $H$2, 1)), "",
    TRUE, $B60
)</f>
        <v/>
      </c>
      <c r="W60" s="75" t="str" cm="1">
        <f t="array" ref="W60">_xlfn.IFS(
     AND(W$51 &gt; $O$91, $N$91 = $B60), "",
    W$51 = $E33, $B60,
    W$51 = $F33, $B60,
    W$51 = $G33, $B60,
    W$51 = $H33, $B60,
    WEEKDAY(W$51, 1) = $C73, "",
    WEEKDAY(W$51, 1) = $D73, "",
    W$51 = $E47, "",
    W$51 = $F47, "",
    W$51 = $G47, "",
    W$51 = $H47, "",
    W$51 = $I47, "",
    W$51 = $J47, "",
    W$51 = $K47, "",
    W$51 = $L47, "",
    W$51 = $M47, "",
    W$51 = $N47, "",
    W$51 = $O47, "",
    W$51 = $P47, "",
    W$51 = $Q47, "",
    MONTH(W$51) &lt;&gt; MONTH(DATE($F$2, $H$2, 1)), "",
    TRUE, $B60
)</f>
        <v/>
      </c>
      <c r="X60" s="75" t="str" cm="1">
        <f t="array" ref="X60">_xlfn.IFS(
     AND(X$51 &gt; $O$91, $N$91 = $B60), "",
    X$51 = $E33, $B60,
    X$51 = $F33, $B60,
    X$51 = $G33, $B60,
    X$51 = $H33, $B60,
    WEEKDAY(X$51, 1) = $C73, "",
    WEEKDAY(X$51, 1) = $D73, "",
    X$51 = $E47, "",
    X$51 = $F47, "",
    X$51 = $G47, "",
    X$51 = $H47, "",
    X$51 = $I47, "",
    X$51 = $J47, "",
    X$51 = $K47, "",
    X$51 = $L47, "",
    X$51 = $M47, "",
    X$51 = $N47, "",
    X$51 = $O47, "",
    X$51 = $P47, "",
    X$51 = $Q47, "",
    MONTH(X$51) &lt;&gt; MONTH(DATE($F$2, $H$2, 1)), "",
    TRUE, $B60
)</f>
        <v/>
      </c>
      <c r="Y60" s="75" t="str" cm="1">
        <f t="array" ref="Y60">_xlfn.IFS(
     AND(Y$51 &gt; $O$91, $N$91 = $B60), "",
    Y$51 = $E33, $B60,
    Y$51 = $F33, $B60,
    Y$51 = $G33, $B60,
    Y$51 = $H33, $B60,
    WEEKDAY(Y$51, 1) = $C73, "",
    WEEKDAY(Y$51, 1) = $D73, "",
    Y$51 = $E47, "",
    Y$51 = $F47, "",
    Y$51 = $G47, "",
    Y$51 = $H47, "",
    Y$51 = $I47, "",
    Y$51 = $J47, "",
    Y$51 = $K47, "",
    Y$51 = $L47, "",
    Y$51 = $M47, "",
    Y$51 = $N47, "",
    Y$51 = $O47, "",
    Y$51 = $P47, "",
    Y$51 = $Q47, "",
    MONTH(Y$51) &lt;&gt; MONTH(DATE($F$2, $H$2, 1)), "",
    TRUE, $B60
)</f>
        <v>김제원</v>
      </c>
      <c r="Z60" s="75" t="str" cm="1">
        <f t="array" ref="Z60">_xlfn.IFS(
     AND(Z$51 &gt; $O$91, $N$91 = $B60), "",
    Z$51 = $E33, $B60,
    Z$51 = $F33, $B60,
    Z$51 = $G33, $B60,
    Z$51 = $H33, $B60,
    WEEKDAY(Z$51, 1) = $C73, "",
    WEEKDAY(Z$51, 1) = $D73, "",
    Z$51 = $E47, "",
    Z$51 = $F47, "",
    Z$51 = $G47, "",
    Z$51 = $H47, "",
    Z$51 = $I47, "",
    Z$51 = $J47, "",
    Z$51 = $K47, "",
    Z$51 = $L47, "",
    Z$51 = $M47, "",
    Z$51 = $N47, "",
    Z$51 = $O47, "",
    Z$51 = $P47, "",
    Z$51 = $Q47, "",
    MONTH(Z$51) &lt;&gt; MONTH(DATE($F$2, $H$2, 1)), "",
    TRUE, $B60
)</f>
        <v>김제원</v>
      </c>
      <c r="AA60" s="75" t="str" cm="1">
        <f t="array" ref="AA60">_xlfn.IFS(
     AND(AA$51 &gt; $O$91, $N$91 = $B60), "",
    AA$51 = $E33, $B60,
    AA$51 = $F33, $B60,
    AA$51 = $G33, $B60,
    AA$51 = $H33, $B60,
    WEEKDAY(AA$51, 1) = $C73, "",
    WEEKDAY(AA$51, 1) = $D73, "",
    AA$51 = $E47, "",
    AA$51 = $F47, "",
    AA$51 = $G47, "",
    AA$51 = $H47, "",
    AA$51 = $I47, "",
    AA$51 = $J47, "",
    AA$51 = $K47, "",
    AA$51 = $L47, "",
    AA$51 = $M47, "",
    AA$51 = $N47, "",
    AA$51 = $O47, "",
    AA$51 = $P47, "",
    AA$51 = $Q47, "",
    MONTH(AA$51) &lt;&gt; MONTH(DATE($F$2, $H$2, 1)), "",
    TRUE, $B60
)</f>
        <v>김제원</v>
      </c>
      <c r="AB60" s="75" t="str" cm="1">
        <f t="array" ref="AB60">_xlfn.IFS(
     AND(AB$51 &gt; $O$91, $N$91 = $B60), "",
    AB$51 = $E33, $B60,
    AB$51 = $F33, $B60,
    AB$51 = $G33, $B60,
    AB$51 = $H33, $B60,
    WEEKDAY(AB$51, 1) = $C73, "",
    WEEKDAY(AB$51, 1) = $D73, "",
    AB$51 = $E47, "",
    AB$51 = $F47, "",
    AB$51 = $G47, "",
    AB$51 = $H47, "",
    AB$51 = $I47, "",
    AB$51 = $J47, "",
    AB$51 = $K47, "",
    AB$51 = $L47, "",
    AB$51 = $M47, "",
    AB$51 = $N47, "",
    AB$51 = $O47, "",
    AB$51 = $P47, "",
    AB$51 = $Q47, "",
    MONTH(AB$51) &lt;&gt; MONTH(DATE($F$2, $H$2, 1)), "",
    TRUE, $B60
)</f>
        <v>김제원</v>
      </c>
      <c r="AC60" s="75" t="str" cm="1">
        <f t="array" ref="AC60">_xlfn.IFS(
     AND(AC$51 &gt; $O$91, $N$91 = $B60), "",
    AC$51 = $E33, $B60,
    AC$51 = $F33, $B60,
    AC$51 = $G33, $B60,
    AC$51 = $H33, $B60,
    WEEKDAY(AC$51, 1) = $C73, "",
    WEEKDAY(AC$51, 1) = $D73, "",
    AC$51 = $E47, "",
    AC$51 = $F47, "",
    AC$51 = $G47, "",
    AC$51 = $H47, "",
    AC$51 = $I47, "",
    AC$51 = $J47, "",
    AC$51 = $K47, "",
    AC$51 = $L47, "",
    AC$51 = $M47, "",
    AC$51 = $N47, "",
    AC$51 = $O47, "",
    AC$51 = $P47, "",
    AC$51 = $Q47, "",
    MONTH(AC$51) &lt;&gt; MONTH(DATE($F$2, $H$2, 1)), "",
    TRUE, $B60
)</f>
        <v>김제원</v>
      </c>
      <c r="AD60" s="75" t="str" cm="1">
        <f t="array" ref="AD60">_xlfn.IFS(
     AND(AD$51 &gt; $O$91, $N$91 = $B60), "",
    AD$51 = $E33, $B60,
    AD$51 = $F33, $B60,
    AD$51 = $G33, $B60,
    AD$51 = $H33, $B60,
    WEEKDAY(AD$51, 1) = $C73, "",
    WEEKDAY(AD$51, 1) = $D73, "",
    AD$51 = $E47, "",
    AD$51 = $F47, "",
    AD$51 = $G47, "",
    AD$51 = $H47, "",
    AD$51 = $I47, "",
    AD$51 = $J47, "",
    AD$51 = $K47, "",
    AD$51 = $L47, "",
    AD$51 = $M47, "",
    AD$51 = $N47, "",
    AD$51 = $O47, "",
    AD$51 = $P47, "",
    AD$51 = $Q47, "",
    MONTH(AD$51) &lt;&gt; MONTH(DATE($F$2, $H$2, 1)), "",
    TRUE, $B60
)</f>
        <v/>
      </c>
      <c r="AE60" s="75" t="str" cm="1">
        <f t="array" ref="AE60">_xlfn.IFS(
     AND(AE$51 &gt; $O$91, $N$91 = $B60), "",
    AE$51 = $E33, $B60,
    AE$51 = $F33, $B60,
    AE$51 = $G33, $B60,
    AE$51 = $H33, $B60,
    WEEKDAY(AE$51, 1) = $C73, "",
    WEEKDAY(AE$51, 1) = $D73, "",
    AE$51 = $E47, "",
    AE$51 = $F47, "",
    AE$51 = $G47, "",
    AE$51 = $H47, "",
    AE$51 = $I47, "",
    AE$51 = $J47, "",
    AE$51 = $K47, "",
    AE$51 = $L47, "",
    AE$51 = $M47, "",
    AE$51 = $N47, "",
    AE$51 = $O47, "",
    AE$51 = $P47, "",
    AE$51 = $Q47, "",
    MONTH(AE$51) &lt;&gt; MONTH(DATE($F$2, $H$2, 1)), "",
    TRUE, $B60
)</f>
        <v/>
      </c>
      <c r="AF60" s="75" t="str" cm="1">
        <f t="array" ref="AF60">_xlfn.IFS(
     AND(AF$51 &gt; $O$91, $N$91 = $B60), "",
    AF$51 = $E33, $B60,
    AF$51 = $F33, $B60,
    AF$51 = $G33, $B60,
    AF$51 = $H33, $B60,
    WEEKDAY(AF$51, 1) = $C73, "",
    WEEKDAY(AF$51, 1) = $D73, "",
    AF$51 = $E47, "",
    AF$51 = $F47, "",
    AF$51 = $G47, "",
    AF$51 = $H47, "",
    AF$51 = $I47, "",
    AF$51 = $J47, "",
    AF$51 = $K47, "",
    AF$51 = $L47, "",
    AF$51 = $M47, "",
    AF$51 = $N47, "",
    AF$51 = $O47, "",
    AF$51 = $P47, "",
    AF$51 = $Q47, "",
    MONTH(AF$51) &lt;&gt; MONTH(DATE($F$2, $H$2, 1)), "",
    TRUE, $B60
)</f>
        <v>김제원</v>
      </c>
      <c r="AG60" s="75" t="str" cm="1">
        <f t="array" ref="AG60">_xlfn.IFS(
     AND(AG$51 &gt; $O$91, $N$91 = $B60), "",
    AG$51 = $E33, $B60,
    AG$51 = $F33, $B60,
    AG$51 = $G33, $B60,
    AG$51 = $H33, $B60,
    WEEKDAY(AG$51, 1) = $C73, "",
    WEEKDAY(AG$51, 1) = $D73, "",
    AG$51 = $E47, "",
    AG$51 = $F47, "",
    AG$51 = $G47, "",
    AG$51 = $H47, "",
    AG$51 = $I47, "",
    AG$51 = $J47, "",
    AG$51 = $K47, "",
    AG$51 = $L47, "",
    AG$51 = $M47, "",
    AG$51 = $N47, "",
    AG$51 = $O47, "",
    AG$51 = $P47, "",
    AG$51 = $Q47, "",
    MONTH(AG$51) &lt;&gt; MONTH(DATE($F$2, $H$2, 1)), "",
    TRUE, $B60
)</f>
        <v>김제원</v>
      </c>
    </row>
    <row r="61" spans="1:33" ht="16.2" hidden="1" customHeight="1" thickBot="1" x14ac:dyDescent="0.3">
      <c r="A61" s="9">
        <v>9</v>
      </c>
      <c r="B61" s="87" t="str">
        <f>이름기초!$B$19</f>
        <v>공란</v>
      </c>
      <c r="C61" s="75" t="str" cm="1">
        <f t="array" ref="C61">_xlfn.IFS(
     AND(C$51 &gt; $O$91, $N$91 = $B61), "",
    C$51 = $E34, $B61,
    C$51 = $F34, $B61,
    C$51 = $G34, $B61,
    C$51 = $H34, $B61,
    WEEKDAY(C$51, 1) = $C74, "",
    WEEKDAY(C$51, 1) = $D74, "",
    C$51 = $E48, "",
    C$51 = $F48, "",
    C$51 = $G48, "",
    C$51 = $H48, "",
    C$51 = $I48, "",
    C$51 = $J48, "",
    C$51 = $K48, "",
    C$51 = $L48, "",
    C$51 = $M48, "",
    C$51 = $N48, "",
    C$51 = $O48, "",
    C$51 = $P48, "",
    C$51 = $Q48, "",
    MONTH(C$51) &lt;&gt; MONTH(DATE($F$2, $H$2, 1)), "",
    TRUE, $B61
)</f>
        <v>공란</v>
      </c>
      <c r="D61" s="75" t="str" cm="1">
        <f t="array" ref="D61">_xlfn.IFS(
     AND(D$51 &gt; $O$91, $N$91 = $B61), "",
    D$51 = $E34, $B61,
    D$51 = $F34, $B61,
    D$51 = $G34, $B61,
    D$51 = $H34, $B61,
    WEEKDAY(D$51, 1) = $C74, "",
    WEEKDAY(D$51, 1) = $D74, "",
    D$51 = $E48, "",
    D$51 = $F48, "",
    D$51 = $G48, "",
    D$51 = $H48, "",
    D$51 = $I48, "",
    D$51 = $J48, "",
    D$51 = $K48, "",
    D$51 = $L48, "",
    D$51 = $M48, "",
    D$51 = $N48, "",
    D$51 = $O48, "",
    D$51 = $P48, "",
    D$51 = $Q48, "",
    MONTH(D$51) &lt;&gt; MONTH(DATE($F$2, $H$2, 1)), "",
    TRUE, $B61
)</f>
        <v>공란</v>
      </c>
      <c r="E61" s="75" t="str" cm="1">
        <f t="array" ref="E61">_xlfn.IFS(
     AND(E$51 &gt; $O$91, $N$91 = $B61), "",
    E$51 = $E34, $B61,
    E$51 = $F34, $B61,
    E$51 = $G34, $B61,
    E$51 = $H34, $B61,
    WEEKDAY(E$51, 1) = $C74, "",
    WEEKDAY(E$51, 1) = $D74, "",
    E$51 = $E48, "",
    E$51 = $F48, "",
    E$51 = $G48, "",
    E$51 = $H48, "",
    E$51 = $I48, "",
    E$51 = $J48, "",
    E$51 = $K48, "",
    E$51 = $L48, "",
    E$51 = $M48, "",
    E$51 = $N48, "",
    E$51 = $O48, "",
    E$51 = $P48, "",
    E$51 = $Q48, "",
    MONTH(E$51) &lt;&gt; MONTH(DATE($F$2, $H$2, 1)), "",
    TRUE, $B61
)</f>
        <v>공란</v>
      </c>
      <c r="F61" s="75" t="str" cm="1">
        <f t="array" ref="F61">_xlfn.IFS(
     AND(F$51 &gt; $O$91, $N$91 = $B61), "",
    F$51 = $E34, $B61,
    F$51 = $F34, $B61,
    F$51 = $G34, $B61,
    F$51 = $H34, $B61,
    WEEKDAY(F$51, 1) = $C74, "",
    WEEKDAY(F$51, 1) = $D74, "",
    F$51 = $E48, "",
    F$51 = $F48, "",
    F$51 = $G48, "",
    F$51 = $H48, "",
    F$51 = $I48, "",
    F$51 = $J48, "",
    F$51 = $K48, "",
    F$51 = $L48, "",
    F$51 = $M48, "",
    F$51 = $N48, "",
    F$51 = $O48, "",
    F$51 = $P48, "",
    F$51 = $Q48, "",
    MONTH(F$51) &lt;&gt; MONTH(DATE($F$2, $H$2, 1)), "",
    TRUE, $B61
)</f>
        <v>공란</v>
      </c>
      <c r="G61" s="75" t="str" cm="1">
        <f t="array" ref="G61">_xlfn.IFS(
     AND(G$51 &gt; $O$91, $N$91 = $B61), "",
    G$51 = $E34, $B61,
    G$51 = $F34, $B61,
    G$51 = $G34, $B61,
    G$51 = $H34, $B61,
    WEEKDAY(G$51, 1) = $C74, "",
    WEEKDAY(G$51, 1) = $D74, "",
    G$51 = $E48, "",
    G$51 = $F48, "",
    G$51 = $G48, "",
    G$51 = $H48, "",
    G$51 = $I48, "",
    G$51 = $J48, "",
    G$51 = $K48, "",
    G$51 = $L48, "",
    G$51 = $M48, "",
    G$51 = $N48, "",
    G$51 = $O48, "",
    G$51 = $P48, "",
    G$51 = $Q48, "",
    MONTH(G$51) &lt;&gt; MONTH(DATE($F$2, $H$2, 1)), "",
    TRUE, $B61
)</f>
        <v>공란</v>
      </c>
      <c r="H61" s="75" t="str" cm="1">
        <f t="array" ref="H61">_xlfn.IFS(
     AND(H$51 &gt; $O$91, $N$91 = $B61), "",
    H$51 = $E34, $B61,
    H$51 = $F34, $B61,
    H$51 = $G34, $B61,
    H$51 = $H34, $B61,
    WEEKDAY(H$51, 1) = $C74, "",
    WEEKDAY(H$51, 1) = $D74, "",
    H$51 = $E48, "",
    H$51 = $F48, "",
    H$51 = $G48, "",
    H$51 = $H48, "",
    H$51 = $I48, "",
    H$51 = $J48, "",
    H$51 = $K48, "",
    H$51 = $L48, "",
    H$51 = $M48, "",
    H$51 = $N48, "",
    H$51 = $O48, "",
    H$51 = $P48, "",
    H$51 = $Q48, "",
    MONTH(H$51) &lt;&gt; MONTH(DATE($F$2, $H$2, 1)), "",
    TRUE, $B61
)</f>
        <v>공란</v>
      </c>
      <c r="I61" s="75" t="str" cm="1">
        <f t="array" ref="I61">_xlfn.IFS(
     AND(I$51 &gt; $O$91, $N$91 = $B61), "",
    I$51 = $E34, $B61,
    I$51 = $F34, $B61,
    I$51 = $G34, $B61,
    I$51 = $H34, $B61,
    WEEKDAY(I$51, 1) = $C74, "",
    WEEKDAY(I$51, 1) = $D74, "",
    I$51 = $E48, "",
    I$51 = $F48, "",
    I$51 = $G48, "",
    I$51 = $H48, "",
    I$51 = $I48, "",
    I$51 = $J48, "",
    I$51 = $K48, "",
    I$51 = $L48, "",
    I$51 = $M48, "",
    I$51 = $N48, "",
    I$51 = $O48, "",
    I$51 = $P48, "",
    I$51 = $Q48, "",
    MONTH(I$51) &lt;&gt; MONTH(DATE($F$2, $H$2, 1)), "",
    TRUE, $B61
)</f>
        <v>공란</v>
      </c>
      <c r="J61" s="75" t="str" cm="1">
        <f t="array" ref="J61">_xlfn.IFS(
     AND(J$51 &gt; $O$91, $N$91 = $B61), "",
    J$51 = $E34, $B61,
    J$51 = $F34, $B61,
    J$51 = $G34, $B61,
    J$51 = $H34, $B61,
    WEEKDAY(J$51, 1) = $C74, "",
    WEEKDAY(J$51, 1) = $D74, "",
    J$51 = $E48, "",
    J$51 = $F48, "",
    J$51 = $G48, "",
    J$51 = $H48, "",
    J$51 = $I48, "",
    J$51 = $J48, "",
    J$51 = $K48, "",
    J$51 = $L48, "",
    J$51 = $M48, "",
    J$51 = $N48, "",
    J$51 = $O48, "",
    J$51 = $P48, "",
    J$51 = $Q48, "",
    MONTH(J$51) &lt;&gt; MONTH(DATE($F$2, $H$2, 1)), "",
    TRUE, $B61
)</f>
        <v>공란</v>
      </c>
      <c r="K61" s="75" t="str" cm="1">
        <f t="array" ref="K61">_xlfn.IFS(
     AND(K$51 &gt; $O$91, $N$91 = $B61), "",
    K$51 = $E34, $B61,
    K$51 = $F34, $B61,
    K$51 = $G34, $B61,
    K$51 = $H34, $B61,
    WEEKDAY(K$51, 1) = $C74, "",
    WEEKDAY(K$51, 1) = $D74, "",
    K$51 = $E48, "",
    K$51 = $F48, "",
    K$51 = $G48, "",
    K$51 = $H48, "",
    K$51 = $I48, "",
    K$51 = $J48, "",
    K$51 = $K48, "",
    K$51 = $L48, "",
    K$51 = $M48, "",
    K$51 = $N48, "",
    K$51 = $O48, "",
    K$51 = $P48, "",
    K$51 = $Q48, "",
    MONTH(K$51) &lt;&gt; MONTH(DATE($F$2, $H$2, 1)), "",
    TRUE, $B61
)</f>
        <v>공란</v>
      </c>
      <c r="L61" s="75" t="str" cm="1">
        <f t="array" ref="L61">_xlfn.IFS(
     AND(L$51 &gt; $O$91, $N$91 = $B61), "",
    L$51 = $E34, $B61,
    L$51 = $F34, $B61,
    L$51 = $G34, $B61,
    L$51 = $H34, $B61,
    WEEKDAY(L$51, 1) = $C74, "",
    WEEKDAY(L$51, 1) = $D74, "",
    L$51 = $E48, "",
    L$51 = $F48, "",
    L$51 = $G48, "",
    L$51 = $H48, "",
    L$51 = $I48, "",
    L$51 = $J48, "",
    L$51 = $K48, "",
    L$51 = $L48, "",
    L$51 = $M48, "",
    L$51 = $N48, "",
    L$51 = $O48, "",
    L$51 = $P48, "",
    L$51 = $Q48, "",
    MONTH(L$51) &lt;&gt; MONTH(DATE($F$2, $H$2, 1)), "",
    TRUE, $B61
)</f>
        <v>공란</v>
      </c>
      <c r="M61" s="75" t="str" cm="1">
        <f t="array" ref="M61">_xlfn.IFS(
     AND(M$51 &gt; $O$91, $N$91 = $B61), "",
    M$51 = $E34, $B61,
    M$51 = $F34, $B61,
    M$51 = $G34, $B61,
    M$51 = $H34, $B61,
    WEEKDAY(M$51, 1) = $C74, "",
    WEEKDAY(M$51, 1) = $D74, "",
    M$51 = $E48, "",
    M$51 = $F48, "",
    M$51 = $G48, "",
    M$51 = $H48, "",
    M$51 = $I48, "",
    M$51 = $J48, "",
    M$51 = $K48, "",
    M$51 = $L48, "",
    M$51 = $M48, "",
    M$51 = $N48, "",
    M$51 = $O48, "",
    M$51 = $P48, "",
    M$51 = $Q48, "",
    MONTH(M$51) &lt;&gt; MONTH(DATE($F$2, $H$2, 1)), "",
    TRUE, $B61
)</f>
        <v>공란</v>
      </c>
      <c r="N61" s="75" t="str" cm="1">
        <f t="array" ref="N61">_xlfn.IFS(
     AND(N$51 &gt; $O$91, $N$91 = $B61), "",
    N$51 = $E34, $B61,
    N$51 = $F34, $B61,
    N$51 = $G34, $B61,
    N$51 = $H34, $B61,
    WEEKDAY(N$51, 1) = $C74, "",
    WEEKDAY(N$51, 1) = $D74, "",
    N$51 = $E48, "",
    N$51 = $F48, "",
    N$51 = $G48, "",
    N$51 = $H48, "",
    N$51 = $I48, "",
    N$51 = $J48, "",
    N$51 = $K48, "",
    N$51 = $L48, "",
    N$51 = $M48, "",
    N$51 = $N48, "",
    N$51 = $O48, "",
    N$51 = $P48, "",
    N$51 = $Q48, "",
    MONTH(N$51) &lt;&gt; MONTH(DATE($F$2, $H$2, 1)), "",
    TRUE, $B61
)</f>
        <v>공란</v>
      </c>
      <c r="O61" s="75" t="str" cm="1">
        <f t="array" ref="O61">_xlfn.IFS(
     AND(O$51 &gt; $O$91, $N$91 = $B61), "",
    O$51 = $E34, $B61,
    O$51 = $F34, $B61,
    O$51 = $G34, $B61,
    O$51 = $H34, $B61,
    WEEKDAY(O$51, 1) = $C74, "",
    WEEKDAY(O$51, 1) = $D74, "",
    O$51 = $E48, "",
    O$51 = $F48, "",
    O$51 = $G48, "",
    O$51 = $H48, "",
    O$51 = $I48, "",
    O$51 = $J48, "",
    O$51 = $K48, "",
    O$51 = $L48, "",
    O$51 = $M48, "",
    O$51 = $N48, "",
    O$51 = $O48, "",
    O$51 = $P48, "",
    O$51 = $Q48, "",
    MONTH(O$51) &lt;&gt; MONTH(DATE($F$2, $H$2, 1)), "",
    TRUE, $B61
)</f>
        <v>공란</v>
      </c>
      <c r="P61" s="75" t="str" cm="1">
        <f t="array" ref="P61">_xlfn.IFS(
     AND(P$51 &gt; $O$91, $N$91 = $B61), "",
    P$51 = $E34, $B61,
    P$51 = $F34, $B61,
    P$51 = $G34, $B61,
    P$51 = $H34, $B61,
    WEEKDAY(P$51, 1) = $C74, "",
    WEEKDAY(P$51, 1) = $D74, "",
    P$51 = $E48, "",
    P$51 = $F48, "",
    P$51 = $G48, "",
    P$51 = $H48, "",
    P$51 = $I48, "",
    P$51 = $J48, "",
    P$51 = $K48, "",
    P$51 = $L48, "",
    P$51 = $M48, "",
    P$51 = $N48, "",
    P$51 = $O48, "",
    P$51 = $P48, "",
    P$51 = $Q48, "",
    MONTH(P$51) &lt;&gt; MONTH(DATE($F$2, $H$2, 1)), "",
    TRUE, $B61
)</f>
        <v>공란</v>
      </c>
      <c r="Q61" s="75" t="str" cm="1">
        <f t="array" ref="Q61">_xlfn.IFS(
     AND(Q$51 &gt; $O$91, $N$91 = $B61), "",
    Q$51 = $E34, $B61,
    Q$51 = $F34, $B61,
    Q$51 = $G34, $B61,
    Q$51 = $H34, $B61,
    WEEKDAY(Q$51, 1) = $C74, "",
    WEEKDAY(Q$51, 1) = $D74, "",
    Q$51 = $E48, "",
    Q$51 = $F48, "",
    Q$51 = $G48, "",
    Q$51 = $H48, "",
    Q$51 = $I48, "",
    Q$51 = $J48, "",
    Q$51 = $K48, "",
    Q$51 = $L48, "",
    Q$51 = $M48, "",
    Q$51 = $N48, "",
    Q$51 = $O48, "",
    Q$51 = $P48, "",
    Q$51 = $Q48, "",
    MONTH(Q$51) &lt;&gt; MONTH(DATE($F$2, $H$2, 1)), "",
    TRUE, $B61
)</f>
        <v>공란</v>
      </c>
      <c r="R61" s="75" t="str" cm="1">
        <f t="array" ref="R61">_xlfn.IFS(
     AND(R$51 &gt; $O$91, $N$91 = $B61), "",
    R$51 = $E34, $B61,
    R$51 = $F34, $B61,
    R$51 = $G34, $B61,
    R$51 = $H34, $B61,
    WEEKDAY(R$51, 1) = $C74, "",
    WEEKDAY(R$51, 1) = $D74, "",
    R$51 = $E48, "",
    R$51 = $F48, "",
    R$51 = $G48, "",
    R$51 = $H48, "",
    R$51 = $I48, "",
    R$51 = $J48, "",
    R$51 = $K48, "",
    R$51 = $L48, "",
    R$51 = $M48, "",
    R$51 = $N48, "",
    R$51 = $O48, "",
    R$51 = $P48, "",
    R$51 = $Q48, "",
    MONTH(R$51) &lt;&gt; MONTH(DATE($F$2, $H$2, 1)), "",
    TRUE, $B61
)</f>
        <v>공란</v>
      </c>
      <c r="S61" s="75" t="str" cm="1">
        <f t="array" ref="S61">_xlfn.IFS(
     AND(S$51 &gt; $O$91, $N$91 = $B61), "",
    S$51 = $E34, $B61,
    S$51 = $F34, $B61,
    S$51 = $G34, $B61,
    S$51 = $H34, $B61,
    WEEKDAY(S$51, 1) = $C74, "",
    WEEKDAY(S$51, 1) = $D74, "",
    S$51 = $E48, "",
    S$51 = $F48, "",
    S$51 = $G48, "",
    S$51 = $H48, "",
    S$51 = $I48, "",
    S$51 = $J48, "",
    S$51 = $K48, "",
    S$51 = $L48, "",
    S$51 = $M48, "",
    S$51 = $N48, "",
    S$51 = $O48, "",
    S$51 = $P48, "",
    S$51 = $Q48, "",
    MONTH(S$51) &lt;&gt; MONTH(DATE($F$2, $H$2, 1)), "",
    TRUE, $B61
)</f>
        <v>공란</v>
      </c>
      <c r="T61" s="75" t="str" cm="1">
        <f t="array" ref="T61">_xlfn.IFS(
     AND(T$51 &gt; $O$91, $N$91 = $B61), "",
    T$51 = $E34, $B61,
    T$51 = $F34, $B61,
    T$51 = $G34, $B61,
    T$51 = $H34, $B61,
    WEEKDAY(T$51, 1) = $C74, "",
    WEEKDAY(T$51, 1) = $D74, "",
    T$51 = $E48, "",
    T$51 = $F48, "",
    T$51 = $G48, "",
    T$51 = $H48, "",
    T$51 = $I48, "",
    T$51 = $J48, "",
    T$51 = $K48, "",
    T$51 = $L48, "",
    T$51 = $M48, "",
    T$51 = $N48, "",
    T$51 = $O48, "",
    T$51 = $P48, "",
    T$51 = $Q48, "",
    MONTH(T$51) &lt;&gt; MONTH(DATE($F$2, $H$2, 1)), "",
    TRUE, $B61
)</f>
        <v>공란</v>
      </c>
      <c r="U61" s="75" t="str" cm="1">
        <f t="array" ref="U61">_xlfn.IFS(
     AND(U$51 &gt; $O$91, $N$91 = $B61), "",
    U$51 = $E34, $B61,
    U$51 = $F34, $B61,
    U$51 = $G34, $B61,
    U$51 = $H34, $B61,
    WEEKDAY(U$51, 1) = $C74, "",
    WEEKDAY(U$51, 1) = $D74, "",
    U$51 = $E48, "",
    U$51 = $F48, "",
    U$51 = $G48, "",
    U$51 = $H48, "",
    U$51 = $I48, "",
    U$51 = $J48, "",
    U$51 = $K48, "",
    U$51 = $L48, "",
    U$51 = $M48, "",
    U$51 = $N48, "",
    U$51 = $O48, "",
    U$51 = $P48, "",
    U$51 = $Q48, "",
    MONTH(U$51) &lt;&gt; MONTH(DATE($F$2, $H$2, 1)), "",
    TRUE, $B61
)</f>
        <v>공란</v>
      </c>
      <c r="V61" s="75" t="str" cm="1">
        <f t="array" ref="V61">_xlfn.IFS(
     AND(V$51 &gt; $O$91, $N$91 = $B61), "",
    V$51 = $E34, $B61,
    V$51 = $F34, $B61,
    V$51 = $G34, $B61,
    V$51 = $H34, $B61,
    WEEKDAY(V$51, 1) = $C74, "",
    WEEKDAY(V$51, 1) = $D74, "",
    V$51 = $E48, "",
    V$51 = $F48, "",
    V$51 = $G48, "",
    V$51 = $H48, "",
    V$51 = $I48, "",
    V$51 = $J48, "",
    V$51 = $K48, "",
    V$51 = $L48, "",
    V$51 = $M48, "",
    V$51 = $N48, "",
    V$51 = $O48, "",
    V$51 = $P48, "",
    V$51 = $Q48, "",
    MONTH(V$51) &lt;&gt; MONTH(DATE($F$2, $H$2, 1)), "",
    TRUE, $B61
)</f>
        <v>공란</v>
      </c>
      <c r="W61" s="75" t="str" cm="1">
        <f t="array" ref="W61">_xlfn.IFS(
     AND(W$51 &gt; $O$91, $N$91 = $B61), "",
    W$51 = $E34, $B61,
    W$51 = $F34, $B61,
    W$51 = $G34, $B61,
    W$51 = $H34, $B61,
    WEEKDAY(W$51, 1) = $C74, "",
    WEEKDAY(W$51, 1) = $D74, "",
    W$51 = $E48, "",
    W$51 = $F48, "",
    W$51 = $G48, "",
    W$51 = $H48, "",
    W$51 = $I48, "",
    W$51 = $J48, "",
    W$51 = $K48, "",
    W$51 = $L48, "",
    W$51 = $M48, "",
    W$51 = $N48, "",
    W$51 = $O48, "",
    W$51 = $P48, "",
    W$51 = $Q48, "",
    MONTH(W$51) &lt;&gt; MONTH(DATE($F$2, $H$2, 1)), "",
    TRUE, $B61
)</f>
        <v>공란</v>
      </c>
      <c r="X61" s="75" t="str" cm="1">
        <f t="array" ref="X61">_xlfn.IFS(
     AND(X$51 &gt; $O$91, $N$91 = $B61), "",
    X$51 = $E34, $B61,
    X$51 = $F34, $B61,
    X$51 = $G34, $B61,
    X$51 = $H34, $B61,
    WEEKDAY(X$51, 1) = $C74, "",
    WEEKDAY(X$51, 1) = $D74, "",
    X$51 = $E48, "",
    X$51 = $F48, "",
    X$51 = $G48, "",
    X$51 = $H48, "",
    X$51 = $I48, "",
    X$51 = $J48, "",
    X$51 = $K48, "",
    X$51 = $L48, "",
    X$51 = $M48, "",
    X$51 = $N48, "",
    X$51 = $O48, "",
    X$51 = $P48, "",
    X$51 = $Q48, "",
    MONTH(X$51) &lt;&gt; MONTH(DATE($F$2, $H$2, 1)), "",
    TRUE, $B61
)</f>
        <v>공란</v>
      </c>
      <c r="Y61" s="75" t="str" cm="1">
        <f t="array" ref="Y61">_xlfn.IFS(
     AND(Y$51 &gt; $O$91, $N$91 = $B61), "",
    Y$51 = $E34, $B61,
    Y$51 = $F34, $B61,
    Y$51 = $G34, $B61,
    Y$51 = $H34, $B61,
    WEEKDAY(Y$51, 1) = $C74, "",
    WEEKDAY(Y$51, 1) = $D74, "",
    Y$51 = $E48, "",
    Y$51 = $F48, "",
    Y$51 = $G48, "",
    Y$51 = $H48, "",
    Y$51 = $I48, "",
    Y$51 = $J48, "",
    Y$51 = $K48, "",
    Y$51 = $L48, "",
    Y$51 = $M48, "",
    Y$51 = $N48, "",
    Y$51 = $O48, "",
    Y$51 = $P48, "",
    Y$51 = $Q48, "",
    MONTH(Y$51) &lt;&gt; MONTH(DATE($F$2, $H$2, 1)), "",
    TRUE, $B61
)</f>
        <v>공란</v>
      </c>
      <c r="Z61" s="75" t="str" cm="1">
        <f t="array" ref="Z61">_xlfn.IFS(
     AND(Z$51 &gt; $O$91, $N$91 = $B61), "",
    Z$51 = $E34, $B61,
    Z$51 = $F34, $B61,
    Z$51 = $G34, $B61,
    Z$51 = $H34, $B61,
    WEEKDAY(Z$51, 1) = $C74, "",
    WEEKDAY(Z$51, 1) = $D74, "",
    Z$51 = $E48, "",
    Z$51 = $F48, "",
    Z$51 = $G48, "",
    Z$51 = $H48, "",
    Z$51 = $I48, "",
    Z$51 = $J48, "",
    Z$51 = $K48, "",
    Z$51 = $L48, "",
    Z$51 = $M48, "",
    Z$51 = $N48, "",
    Z$51 = $O48, "",
    Z$51 = $P48, "",
    Z$51 = $Q48, "",
    MONTH(Z$51) &lt;&gt; MONTH(DATE($F$2, $H$2, 1)), "",
    TRUE, $B61
)</f>
        <v>공란</v>
      </c>
      <c r="AA61" s="75" t="str" cm="1">
        <f t="array" ref="AA61">_xlfn.IFS(
     AND(AA$51 &gt; $O$91, $N$91 = $B61), "",
    AA$51 = $E34, $B61,
    AA$51 = $F34, $B61,
    AA$51 = $G34, $B61,
    AA$51 = $H34, $B61,
    WEEKDAY(AA$51, 1) = $C74, "",
    WEEKDAY(AA$51, 1) = $D74, "",
    AA$51 = $E48, "",
    AA$51 = $F48, "",
    AA$51 = $G48, "",
    AA$51 = $H48, "",
    AA$51 = $I48, "",
    AA$51 = $J48, "",
    AA$51 = $K48, "",
    AA$51 = $L48, "",
    AA$51 = $M48, "",
    AA$51 = $N48, "",
    AA$51 = $O48, "",
    AA$51 = $P48, "",
    AA$51 = $Q48, "",
    MONTH(AA$51) &lt;&gt; MONTH(DATE($F$2, $H$2, 1)), "",
    TRUE, $B61
)</f>
        <v>공란</v>
      </c>
      <c r="AB61" s="75" t="str" cm="1">
        <f t="array" ref="AB61">_xlfn.IFS(
     AND(AB$51 &gt; $O$91, $N$91 = $B61), "",
    AB$51 = $E34, $B61,
    AB$51 = $F34, $B61,
    AB$51 = $G34, $B61,
    AB$51 = $H34, $B61,
    WEEKDAY(AB$51, 1) = $C74, "",
    WEEKDAY(AB$51, 1) = $D74, "",
    AB$51 = $E48, "",
    AB$51 = $F48, "",
    AB$51 = $G48, "",
    AB$51 = $H48, "",
    AB$51 = $I48, "",
    AB$51 = $J48, "",
    AB$51 = $K48, "",
    AB$51 = $L48, "",
    AB$51 = $M48, "",
    AB$51 = $N48, "",
    AB$51 = $O48, "",
    AB$51 = $P48, "",
    AB$51 = $Q48, "",
    MONTH(AB$51) &lt;&gt; MONTH(DATE($F$2, $H$2, 1)), "",
    TRUE, $B61
)</f>
        <v>공란</v>
      </c>
      <c r="AC61" s="75" t="str" cm="1">
        <f t="array" ref="AC61">_xlfn.IFS(
     AND(AC$51 &gt; $O$91, $N$91 = $B61), "",
    AC$51 = $E34, $B61,
    AC$51 = $F34, $B61,
    AC$51 = $G34, $B61,
    AC$51 = $H34, $B61,
    WEEKDAY(AC$51, 1) = $C74, "",
    WEEKDAY(AC$51, 1) = $D74, "",
    AC$51 = $E48, "",
    AC$51 = $F48, "",
    AC$51 = $G48, "",
    AC$51 = $H48, "",
    AC$51 = $I48, "",
    AC$51 = $J48, "",
    AC$51 = $K48, "",
    AC$51 = $L48, "",
    AC$51 = $M48, "",
    AC$51 = $N48, "",
    AC$51 = $O48, "",
    AC$51 = $P48, "",
    AC$51 = $Q48, "",
    MONTH(AC$51) &lt;&gt; MONTH(DATE($F$2, $H$2, 1)), "",
    TRUE, $B61
)</f>
        <v>공란</v>
      </c>
      <c r="AD61" s="75" t="str" cm="1">
        <f t="array" ref="AD61">_xlfn.IFS(
     AND(AD$51 &gt; $O$91, $N$91 = $B61), "",
    AD$51 = $E34, $B61,
    AD$51 = $F34, $B61,
    AD$51 = $G34, $B61,
    AD$51 = $H34, $B61,
    WEEKDAY(AD$51, 1) = $C74, "",
    WEEKDAY(AD$51, 1) = $D74, "",
    AD$51 = $E48, "",
    AD$51 = $F48, "",
    AD$51 = $G48, "",
    AD$51 = $H48, "",
    AD$51 = $I48, "",
    AD$51 = $J48, "",
    AD$51 = $K48, "",
    AD$51 = $L48, "",
    AD$51 = $M48, "",
    AD$51 = $N48, "",
    AD$51 = $O48, "",
    AD$51 = $P48, "",
    AD$51 = $Q48, "",
    MONTH(AD$51) &lt;&gt; MONTH(DATE($F$2, $H$2, 1)), "",
    TRUE, $B61
)</f>
        <v>공란</v>
      </c>
      <c r="AE61" s="75" t="str" cm="1">
        <f t="array" ref="AE61">_xlfn.IFS(
     AND(AE$51 &gt; $O$91, $N$91 = $B61), "",
    AE$51 = $E34, $B61,
    AE$51 = $F34, $B61,
    AE$51 = $G34, $B61,
    AE$51 = $H34, $B61,
    WEEKDAY(AE$51, 1) = $C74, "",
    WEEKDAY(AE$51, 1) = $D74, "",
    AE$51 = $E48, "",
    AE$51 = $F48, "",
    AE$51 = $G48, "",
    AE$51 = $H48, "",
    AE$51 = $I48, "",
    AE$51 = $J48, "",
    AE$51 = $K48, "",
    AE$51 = $L48, "",
    AE$51 = $M48, "",
    AE$51 = $N48, "",
    AE$51 = $O48, "",
    AE$51 = $P48, "",
    AE$51 = $Q48, "",
    MONTH(AE$51) &lt;&gt; MONTH(DATE($F$2, $H$2, 1)), "",
    TRUE, $B61
)</f>
        <v>공란</v>
      </c>
      <c r="AF61" s="75" t="str" cm="1">
        <f t="array" ref="AF61">_xlfn.IFS(
     AND(AF$51 &gt; $O$91, $N$91 = $B61), "",
    AF$51 = $E34, $B61,
    AF$51 = $F34, $B61,
    AF$51 = $G34, $B61,
    AF$51 = $H34, $B61,
    WEEKDAY(AF$51, 1) = $C74, "",
    WEEKDAY(AF$51, 1) = $D74, "",
    AF$51 = $E48, "",
    AF$51 = $F48, "",
    AF$51 = $G48, "",
    AF$51 = $H48, "",
    AF$51 = $I48, "",
    AF$51 = $J48, "",
    AF$51 = $K48, "",
    AF$51 = $L48, "",
    AF$51 = $M48, "",
    AF$51 = $N48, "",
    AF$51 = $O48, "",
    AF$51 = $P48, "",
    AF$51 = $Q48, "",
    MONTH(AF$51) &lt;&gt; MONTH(DATE($F$2, $H$2, 1)), "",
    TRUE, $B61
)</f>
        <v>공란</v>
      </c>
      <c r="AG61" s="75" t="str" cm="1">
        <f t="array" ref="AG61">_xlfn.IFS(
     AND(AG$51 &gt; $O$91, $N$91 = $B61), "",
    AG$51 = $E34, $B61,
    AG$51 = $F34, $B61,
    AG$51 = $G34, $B61,
    AG$51 = $H34, $B61,
    WEEKDAY(AG$51, 1) = $C74, "",
    WEEKDAY(AG$51, 1) = $D74, "",
    AG$51 = $E48, "",
    AG$51 = $F48, "",
    AG$51 = $G48, "",
    AG$51 = $H48, "",
    AG$51 = $I48, "",
    AG$51 = $J48, "",
    AG$51 = $K48, "",
    AG$51 = $L48, "",
    AG$51 = $M48, "",
    AG$51 = $N48, "",
    AG$51 = $O48, "",
    AG$51 = $P48, "",
    AG$51 = $Q48, "",
    MONTH(AG$51) &lt;&gt; MONTH(DATE($F$2, $H$2, 1)), "",
    TRUE, $B61
)</f>
        <v>공란</v>
      </c>
    </row>
    <row r="62" spans="1:33" ht="16.2" hidden="1" customHeight="1" thickTop="1" x14ac:dyDescent="0.25"/>
    <row r="63" spans="1:33" ht="16.2" hidden="1" customHeight="1" x14ac:dyDescent="0.25"/>
    <row r="64" spans="1:33" ht="16.2" hidden="1" customHeight="1" thickBot="1" x14ac:dyDescent="0.3"/>
    <row r="65" spans="1:15" ht="16.2" hidden="1" customHeight="1" thickTop="1" x14ac:dyDescent="0.25">
      <c r="C65" s="283" t="s">
        <v>73</v>
      </c>
      <c r="D65" s="284"/>
    </row>
    <row r="66" spans="1:15" ht="16.2" hidden="1" customHeight="1" x14ac:dyDescent="0.25">
      <c r="A66" s="9">
        <v>1</v>
      </c>
      <c r="B66" s="2" t="str">
        <f>이름기초!$B$11</f>
        <v>한영희</v>
      </c>
      <c r="C66" s="74" t="str">
        <f>IFERROR(INDEX(이름기초!$A$1:$A$7,MATCH(I26,요일,0)),"")</f>
        <v/>
      </c>
      <c r="D66" s="74" t="str">
        <f>IFERROR(INDEX(이름기초!$A$1:$A$7,MATCH(J26,요일,0)),"")</f>
        <v/>
      </c>
      <c r="O66" ph="1"/>
    </row>
    <row r="67" spans="1:15" ht="16.2" hidden="1" customHeight="1" x14ac:dyDescent="0.25">
      <c r="A67" s="9">
        <v>2</v>
      </c>
      <c r="B67" s="2" t="str">
        <f>이름기초!$B$12</f>
        <v>장영대</v>
      </c>
      <c r="C67" s="74">
        <f>IFERROR(INDEX(이름기초!$A$1:$A$7,MATCH(I27,요일,0)),"")</f>
        <v>5</v>
      </c>
      <c r="D67" s="74">
        <f>IFERROR(INDEX(이름기초!$A$1:$A$7,MATCH(J27,요일,0)),"")</f>
        <v>6</v>
      </c>
    </row>
    <row r="68" spans="1:15" ht="16.2" hidden="1" customHeight="1" x14ac:dyDescent="0.25">
      <c r="A68" s="9">
        <v>3</v>
      </c>
      <c r="B68" s="2" t="str">
        <f>이름기초!$B$13</f>
        <v>위선옥</v>
      </c>
      <c r="C68" s="74">
        <f>IFERROR(INDEX(이름기초!$A$1:$A$7,MATCH(I28,요일,0)),"")</f>
        <v>4</v>
      </c>
      <c r="D68" s="74">
        <f>IFERROR(INDEX(이름기초!$A$1:$A$7,MATCH(J28,요일,0)),"")</f>
        <v>5</v>
      </c>
    </row>
    <row r="69" spans="1:15" ht="16.2" hidden="1" customHeight="1" x14ac:dyDescent="0.25">
      <c r="A69" s="9">
        <v>4</v>
      </c>
      <c r="B69" s="2" t="str">
        <f>이름기초!$B$14</f>
        <v>오광웅</v>
      </c>
      <c r="C69" s="74">
        <f>IFERROR(INDEX(이름기초!$A$1:$A$7,MATCH(I29,요일,0)),"")</f>
        <v>1</v>
      </c>
      <c r="D69" s="74">
        <f>IFERROR(INDEX(이름기초!$A$1:$A$7,MATCH(J29,요일,0)),"")</f>
        <v>2</v>
      </c>
    </row>
    <row r="70" spans="1:15" ht="16.2" hidden="1" customHeight="1" x14ac:dyDescent="0.25">
      <c r="A70" s="9">
        <v>5</v>
      </c>
      <c r="B70" s="2" t="str">
        <f>이름기초!$B$15</f>
        <v>안성용</v>
      </c>
      <c r="C70" s="74">
        <f>IFERROR(INDEX(이름기초!$A$1:$A$7,MATCH(I30,요일,0)),"")</f>
        <v>7</v>
      </c>
      <c r="D70" s="74">
        <f>IFERROR(INDEX(이름기초!$A$1:$A$7,MATCH(J30,요일,0)),"")</f>
        <v>1</v>
      </c>
    </row>
    <row r="71" spans="1:15" ht="16.2" hidden="1" customHeight="1" x14ac:dyDescent="0.25">
      <c r="A71" s="9">
        <v>6</v>
      </c>
      <c r="B71" s="2" t="str">
        <f>이름기초!$B$16</f>
        <v>신대진</v>
      </c>
      <c r="C71" s="74" t="str">
        <f>IFERROR(INDEX(이름기초!$A$1:$A$7,MATCH(I31,요일,0)),"")</f>
        <v/>
      </c>
      <c r="D71" s="74" t="str">
        <f>IFERROR(INDEX(이름기초!$A$1:$A$7,MATCH(J31,요일,0)),"")</f>
        <v/>
      </c>
    </row>
    <row r="72" spans="1:15" ht="16.2" hidden="1" customHeight="1" x14ac:dyDescent="0.25">
      <c r="A72" s="9">
        <v>7</v>
      </c>
      <c r="B72" s="2" t="str">
        <f>이름기초!$B$17</f>
        <v>김대화</v>
      </c>
      <c r="C72" s="74">
        <f>IFERROR(INDEX(이름기초!$A$1:$A$7,MATCH(I32,요일,0)),"")</f>
        <v>2</v>
      </c>
      <c r="D72" s="74">
        <f>IFERROR(INDEX(이름기초!$A$1:$A$7,MATCH(J32,요일,0)),"")</f>
        <v>3</v>
      </c>
    </row>
    <row r="73" spans="1:15" ht="16.2" hidden="1" customHeight="1" x14ac:dyDescent="0.25">
      <c r="A73" s="9">
        <v>8</v>
      </c>
      <c r="B73" s="2" t="str">
        <f>이름기초!$B$18</f>
        <v>김제원</v>
      </c>
      <c r="C73" s="74">
        <f>IFERROR(INDEX(이름기초!$A$1:$A$7,MATCH(I33,요일,0)),"")</f>
        <v>6</v>
      </c>
      <c r="D73" s="74">
        <f>IFERROR(INDEX(이름기초!$A$1:$A$7,MATCH(J33,요일,0)),"")</f>
        <v>7</v>
      </c>
    </row>
    <row r="74" spans="1:15" ht="16.2" hidden="1" customHeight="1" thickBot="1" x14ac:dyDescent="0.3">
      <c r="A74" s="9">
        <v>9</v>
      </c>
      <c r="B74" s="87" t="str">
        <f>이름기초!$B$19</f>
        <v>공란</v>
      </c>
      <c r="C74" s="74" t="str">
        <f>IFERROR(INDEX(이름기초!$A$1:$A$7,MATCH(I34,요일,0)),"")</f>
        <v/>
      </c>
      <c r="D74" s="74" t="str">
        <f>IFERROR(INDEX(이름기초!$A$1:$A$7,MATCH(J34,요일,0)),"")</f>
        <v/>
      </c>
      <c r="F74">
        <f>COUNTIF(월근무표기초!$A$1:$H$33,"*" &amp;'4주용'!$A6&amp; "*")</f>
        <v>19</v>
      </c>
    </row>
    <row r="75" spans="1:15" ht="16.2" hidden="1" customHeight="1" thickTop="1" x14ac:dyDescent="0.25"/>
    <row r="76" spans="1:15" ht="16.2" customHeight="1" thickBot="1" x14ac:dyDescent="0.3">
      <c r="B76" s="19" t="s">
        <v>88</v>
      </c>
      <c r="C76" s="19"/>
    </row>
    <row r="77" spans="1:15" ht="16.2" customHeight="1" x14ac:dyDescent="0.25">
      <c r="C77" s="145" t="s">
        <v>2</v>
      </c>
      <c r="D77" s="146" t="s">
        <v>31</v>
      </c>
      <c r="E77" s="147" t="s">
        <v>64</v>
      </c>
      <c r="F77" s="147" t="s">
        <v>65</v>
      </c>
      <c r="G77" s="148" t="s">
        <v>83</v>
      </c>
      <c r="H77" s="149" t="s">
        <v>84</v>
      </c>
      <c r="I77" s="150" t="s">
        <v>107</v>
      </c>
    </row>
    <row r="78" spans="1:15" ht="18" customHeight="1" x14ac:dyDescent="0.25">
      <c r="C78" s="151" t="str">
        <f>이름기초!$B$11</f>
        <v>한영희</v>
      </c>
      <c r="D78" s="2">
        <f>COUNTIF(월근무표6주용!$A$2:$H$40,"*"&amp;'4주용'!$A3&amp;"*")-COUNTIF(조편성!$B$46:'조편성'!$K$49,"*"&amp;'4주용'!$A3&amp;"*")</f>
        <v>13</v>
      </c>
      <c r="E78" s="9">
        <f t="shared" ref="E78:E86" si="5">D78*8</f>
        <v>104</v>
      </c>
      <c r="F78" s="9">
        <f>IF(OR($C78=조편성!$C$30,$C78=조편성!$D$30),D78*4,COUNTIF(조편성!$G$26:'조편성'!$G$33,휴무요일과특정일휴무!$C78)*4)</f>
        <v>52</v>
      </c>
      <c r="G78" s="9">
        <f t="shared" ref="G78:G86" si="6">E78+F78</f>
        <v>156</v>
      </c>
      <c r="H78" s="9">
        <f>월총근무일과시간!$E$9</f>
        <v>160</v>
      </c>
      <c r="I78" s="144">
        <f t="shared" ref="I78:I86" si="7">H78-G78</f>
        <v>4</v>
      </c>
    </row>
    <row r="79" spans="1:15" ht="18" customHeight="1" x14ac:dyDescent="0.25">
      <c r="C79" s="151" t="str">
        <f>이름기초!$B$12</f>
        <v>장영대</v>
      </c>
      <c r="D79" s="2">
        <f>COUNTIF(월근무표6주용!$A$2:$H$40,"*"&amp;'4주용'!$A4&amp;"*")-COUNTIF(조편성!$B$46:'조편성'!$K$49,"*"&amp;'4주용'!$A4&amp;"*")</f>
        <v>20</v>
      </c>
      <c r="E79" s="9">
        <f t="shared" si="5"/>
        <v>160</v>
      </c>
      <c r="F79" s="9">
        <f>IF(OR($C79=조편성!$C$30,$C79=조편성!$D$30),D79*4,COUNTIF(조편성!$G$26:'조편성'!$G$33,휴무요일과특정일휴무!$C79)*4)</f>
        <v>0</v>
      </c>
      <c r="G79" s="9">
        <f t="shared" si="6"/>
        <v>160</v>
      </c>
      <c r="H79" s="9">
        <f>월총근무일과시간!$E$9</f>
        <v>160</v>
      </c>
      <c r="I79" s="144">
        <f t="shared" si="7"/>
        <v>0</v>
      </c>
    </row>
    <row r="80" spans="1:15" ht="18" customHeight="1" x14ac:dyDescent="0.25">
      <c r="C80" s="151" t="str">
        <f>이름기초!$B$13</f>
        <v>위선옥</v>
      </c>
      <c r="D80" s="2">
        <f>COUNTIF(월근무표6주용!$A$2:$H$40,"*"&amp;'4주용'!$A5&amp;"*")-COUNTIF(조편성!$B$46:'조편성'!$K$49,"*"&amp;'4주용'!$A5&amp;"*")</f>
        <v>6</v>
      </c>
      <c r="E80" s="9">
        <f t="shared" si="5"/>
        <v>48</v>
      </c>
      <c r="F80" s="9">
        <f>IF(OR($C80=조편성!$C$30,$C80=조편성!$D$30),D80*4,COUNTIF(조편성!$G$26:'조편성'!$G$33,휴무요일과특정일휴무!$C80)*4)</f>
        <v>0</v>
      </c>
      <c r="G80" s="9">
        <f t="shared" si="6"/>
        <v>48</v>
      </c>
      <c r="H80" s="9">
        <f>월총근무일과시간!$E$9</f>
        <v>160</v>
      </c>
      <c r="I80" s="144">
        <f t="shared" si="7"/>
        <v>112</v>
      </c>
    </row>
    <row r="81" spans="3:15" ht="18" customHeight="1" x14ac:dyDescent="0.25">
      <c r="C81" s="151" t="str">
        <f>이름기초!$B$14</f>
        <v>오광웅</v>
      </c>
      <c r="D81" s="2">
        <f>COUNTIF(월근무표6주용!$A$2:$H$40,"*"&amp;'4주용'!$A6&amp;"*")-COUNTIF(조편성!$B$46:'조편성'!$K$49,"*"&amp;'4주용'!$A6&amp;"*")</f>
        <v>18</v>
      </c>
      <c r="E81" s="9">
        <f t="shared" si="5"/>
        <v>144</v>
      </c>
      <c r="F81" s="9">
        <f>IF(OR($C81=조편성!$C$30,$C81=조편성!$D$30),D81*4,COUNTIF(조편성!$G$26:'조편성'!$G$33,휴무요일과특정일휴무!$C81)*4)</f>
        <v>12</v>
      </c>
      <c r="G81" s="9">
        <f t="shared" si="6"/>
        <v>156</v>
      </c>
      <c r="H81" s="9">
        <f>월총근무일과시간!$E$9</f>
        <v>160</v>
      </c>
      <c r="I81" s="144">
        <f t="shared" si="7"/>
        <v>4</v>
      </c>
    </row>
    <row r="82" spans="3:15" ht="18" customHeight="1" x14ac:dyDescent="0.25">
      <c r="C82" s="151" t="str">
        <f>이름기초!$B$15</f>
        <v>안성용</v>
      </c>
      <c r="D82" s="2">
        <f>COUNTIF(월근무표6주용!$A$2:$H$40,"*"&amp;'4주용'!$A7&amp;"*")-COUNTIF(조편성!$B$46:'조편성'!$K$49,"*"&amp;'4주용'!$A7&amp;"*")</f>
        <v>20</v>
      </c>
      <c r="E82" s="9">
        <f t="shared" si="5"/>
        <v>160</v>
      </c>
      <c r="F82" s="9">
        <f>IF(OR($C82=조편성!$C$30,$C82=조편성!$D$30),D82*4,COUNTIF(조편성!$G$26:'조편성'!$G$33,휴무요일과특정일휴무!$C82)*4)</f>
        <v>0</v>
      </c>
      <c r="G82" s="9">
        <f t="shared" si="6"/>
        <v>160</v>
      </c>
      <c r="H82" s="9">
        <f>월총근무일과시간!$E$9</f>
        <v>160</v>
      </c>
      <c r="I82" s="144">
        <f t="shared" si="7"/>
        <v>0</v>
      </c>
    </row>
    <row r="83" spans="3:15" ht="18" customHeight="1" x14ac:dyDescent="0.25">
      <c r="C83" s="151" t="str">
        <f>이름기초!$B$16</f>
        <v>신대진</v>
      </c>
      <c r="D83" s="2">
        <f>COUNTIF(월근무표6주용!$A$2:$H$40,"*"&amp;'4주용'!$A8&amp;"*")-COUNTIF(조편성!$B$46:'조편성'!$K$49,"*"&amp;'4주용'!$A8&amp;"*")</f>
        <v>13</v>
      </c>
      <c r="E83" s="9">
        <f t="shared" si="5"/>
        <v>104</v>
      </c>
      <c r="F83" s="9">
        <f>IF(OR($C83=조편성!$C$30,$C83=조편성!$D$30),D83*4,COUNTIF(조편성!$G$26:'조편성'!$G$33,휴무요일과특정일휴무!$C83)*4)</f>
        <v>52</v>
      </c>
      <c r="G83" s="9">
        <f t="shared" si="6"/>
        <v>156</v>
      </c>
      <c r="H83" s="9">
        <f>월총근무일과시간!$E$9</f>
        <v>160</v>
      </c>
      <c r="I83" s="144">
        <f t="shared" si="7"/>
        <v>4</v>
      </c>
    </row>
    <row r="84" spans="3:15" ht="18" customHeight="1" x14ac:dyDescent="0.25">
      <c r="C84" s="151" t="str">
        <f>이름기초!$B$17</f>
        <v>김대화</v>
      </c>
      <c r="D84" s="2">
        <f>COUNTIF(월근무표6주용!$A$2:$H$40,"*"&amp;'4주용'!$A9&amp;"*")-COUNTIF(조편성!$B$46:'조편성'!$K$49,"*"&amp;'4주용'!$A9&amp;"*")</f>
        <v>20</v>
      </c>
      <c r="E84" s="9">
        <f t="shared" si="5"/>
        <v>160</v>
      </c>
      <c r="F84" s="9">
        <f>IF(OR($C84=조편성!$C$30,$C84=조편성!$D$30),D84*4,COUNTIF(조편성!$G$26:'조편성'!$G$33,휴무요일과특정일휴무!$C84)*4)</f>
        <v>0</v>
      </c>
      <c r="G84" s="9">
        <f t="shared" si="6"/>
        <v>160</v>
      </c>
      <c r="H84" s="9">
        <f>월총근무일과시간!$E$9</f>
        <v>160</v>
      </c>
      <c r="I84" s="144">
        <f t="shared" si="7"/>
        <v>0</v>
      </c>
    </row>
    <row r="85" spans="3:15" ht="18" customHeight="1" x14ac:dyDescent="0.25">
      <c r="C85" s="151" t="str">
        <f>이름기초!$B$18</f>
        <v>김제원</v>
      </c>
      <c r="D85" s="2">
        <f>COUNTIF(월근무표6주용!$A$2:$H$40,"*"&amp;'4주용'!$A10&amp;"*")-COUNTIF(조편성!$B$46:'조편성'!$K$49,"*"&amp;'4주용'!$A10&amp;"*")</f>
        <v>19</v>
      </c>
      <c r="E85" s="9">
        <f t="shared" si="5"/>
        <v>152</v>
      </c>
      <c r="F85" s="9">
        <f>IF(OR($C85=조편성!$C$30,$C85=조편성!$D$30),D85*4,COUNTIF(조편성!$G$26:'조편성'!$G$33,휴무요일과특정일휴무!$C85)*4)</f>
        <v>8</v>
      </c>
      <c r="G85" s="9">
        <f t="shared" si="6"/>
        <v>160</v>
      </c>
      <c r="H85" s="9">
        <f>월총근무일과시간!$E$9</f>
        <v>160</v>
      </c>
      <c r="I85" s="144">
        <f t="shared" si="7"/>
        <v>0</v>
      </c>
    </row>
    <row r="86" spans="3:15" ht="18" customHeight="1" thickBot="1" x14ac:dyDescent="0.3">
      <c r="C86" s="152" t="str">
        <f>이름기초!$B$19</f>
        <v>공란</v>
      </c>
      <c r="D86" s="2">
        <f>COUNTIF(월근무표6주용!$A$2:$H$40,"*"&amp;'4주용'!$A11&amp;"*")-COUNTIF(조편성!$B$46:'조편성'!$K$49,"*"&amp;'4주용'!$A11&amp;"*")</f>
        <v>0</v>
      </c>
      <c r="E86" s="153">
        <f t="shared" si="5"/>
        <v>0</v>
      </c>
      <c r="F86" s="153">
        <f>IF(OR($C86=조편성!$C$30,$C86=조편성!$D$30),D86*4,COUNTIF(조편성!$G$26:'조편성'!$G$33,휴무요일과특정일휴무!$C86)*4)</f>
        <v>0</v>
      </c>
      <c r="G86" s="153">
        <f t="shared" si="6"/>
        <v>0</v>
      </c>
      <c r="H86" s="153">
        <f>월총근무일과시간!$E$9</f>
        <v>160</v>
      </c>
      <c r="I86" s="144">
        <f t="shared" si="7"/>
        <v>160</v>
      </c>
    </row>
    <row r="87" spans="3:15" ht="18" customHeight="1" x14ac:dyDescent="0.25"/>
    <row r="88" spans="3:15" ht="13.8" thickBot="1" x14ac:dyDescent="0.3">
      <c r="N88" s="19" t="s">
        <v>90</v>
      </c>
    </row>
    <row r="89" spans="3:15" ht="16.2" thickTop="1" thickBot="1" x14ac:dyDescent="0.3">
      <c r="C89" s="89"/>
      <c r="D89" s="115"/>
      <c r="E89" s="116" t="s">
        <v>77</v>
      </c>
      <c r="F89" s="117" t="s">
        <v>80</v>
      </c>
      <c r="G89" s="117" t="s">
        <v>81</v>
      </c>
      <c r="H89" s="117" t="s">
        <v>79</v>
      </c>
      <c r="I89" s="117" t="s">
        <v>78</v>
      </c>
      <c r="J89" s="117" t="s">
        <v>76</v>
      </c>
      <c r="K89" s="118" t="s">
        <v>75</v>
      </c>
      <c r="M89" s="219" t="s">
        <v>113</v>
      </c>
    </row>
    <row r="90" spans="3:15" ht="16.2" thickTop="1" x14ac:dyDescent="0.25">
      <c r="C90" s="275" t="s">
        <v>94</v>
      </c>
      <c r="D90" s="109" t="str">
        <f>조편성!C26</f>
        <v>장영대</v>
      </c>
      <c r="E90" s="197"/>
      <c r="F90" s="197"/>
      <c r="G90" s="197"/>
      <c r="H90" s="197"/>
      <c r="I90" s="197" t="s">
        <v>7</v>
      </c>
      <c r="J90" s="197" t="s">
        <v>7</v>
      </c>
      <c r="K90" s="198"/>
      <c r="M90" s="288" t="s">
        <v>131</v>
      </c>
      <c r="N90" s="230" t="s">
        <v>132</v>
      </c>
      <c r="O90" s="231" t="s">
        <v>133</v>
      </c>
    </row>
    <row r="91" spans="3:15" ht="13.8" thickBot="1" x14ac:dyDescent="0.3">
      <c r="C91" s="273"/>
      <c r="D91" s="49" t="str">
        <f>조편성!D26</f>
        <v>김대화</v>
      </c>
      <c r="E91" s="197"/>
      <c r="F91" s="197" t="s">
        <v>129</v>
      </c>
      <c r="G91" s="197" t="s">
        <v>129</v>
      </c>
      <c r="H91" s="197"/>
      <c r="I91" s="197"/>
      <c r="J91" s="197"/>
      <c r="K91" s="198"/>
      <c r="M91" s="289"/>
      <c r="N91" s="232" t="s">
        <v>18</v>
      </c>
      <c r="O91" s="233">
        <v>45725</v>
      </c>
    </row>
    <row r="92" spans="3:15" ht="13.8" thickBot="1" x14ac:dyDescent="0.3">
      <c r="C92" s="274"/>
      <c r="D92" s="49" t="str">
        <f>조편성!C27</f>
        <v>안성용</v>
      </c>
      <c r="E92" s="197" t="s">
        <v>6</v>
      </c>
      <c r="F92" s="197"/>
      <c r="G92" s="197"/>
      <c r="H92" s="197"/>
      <c r="I92" s="197"/>
      <c r="J92" s="197"/>
      <c r="K92" s="198" t="s">
        <v>6</v>
      </c>
    </row>
    <row r="93" spans="3:15" ht="13.8" thickTop="1" x14ac:dyDescent="0.25">
      <c r="C93" s="272" t="s">
        <v>95</v>
      </c>
      <c r="D93" s="49" t="str">
        <f>조편성!C28</f>
        <v>오광웅</v>
      </c>
      <c r="E93" s="197" t="s">
        <v>19</v>
      </c>
      <c r="F93" s="197" t="s">
        <v>19</v>
      </c>
      <c r="G93" s="197"/>
      <c r="H93" s="197"/>
      <c r="I93" s="197"/>
      <c r="J93" s="197"/>
      <c r="K93" s="198"/>
    </row>
    <row r="94" spans="3:15" x14ac:dyDescent="0.25">
      <c r="C94" s="273"/>
      <c r="D94" s="49" t="str">
        <f>조편성!D28</f>
        <v>김제원</v>
      </c>
      <c r="E94" s="197"/>
      <c r="F94" s="197"/>
      <c r="G94" s="197"/>
      <c r="H94" s="197"/>
      <c r="I94" s="197"/>
      <c r="J94" s="197" t="s">
        <v>134</v>
      </c>
      <c r="K94" s="198" t="s">
        <v>134</v>
      </c>
    </row>
    <row r="95" spans="3:15" x14ac:dyDescent="0.25">
      <c r="C95" s="273"/>
      <c r="D95" s="49" t="str">
        <f>조편성!C29</f>
        <v>위선옥</v>
      </c>
      <c r="E95" s="197"/>
      <c r="F95" s="197"/>
      <c r="G95" s="197"/>
      <c r="H95" s="197" t="s">
        <v>18</v>
      </c>
      <c r="I95" s="197" t="s">
        <v>18</v>
      </c>
      <c r="J95" s="197"/>
      <c r="K95" s="198"/>
    </row>
    <row r="96" spans="3:15" ht="13.8" thickBot="1" x14ac:dyDescent="0.3">
      <c r="C96" s="274"/>
      <c r="D96" s="50">
        <f>조편성!D29</f>
        <v>0</v>
      </c>
      <c r="E96" s="197"/>
      <c r="F96" s="197"/>
      <c r="G96" s="197"/>
      <c r="H96" s="197"/>
      <c r="I96" s="197"/>
      <c r="J96" s="197"/>
      <c r="K96" s="198"/>
    </row>
    <row r="97" spans="3:9" ht="13.8" thickTop="1" x14ac:dyDescent="0.25"/>
    <row r="98" spans="3:9" x14ac:dyDescent="0.25">
      <c r="E98" t="s">
        <v>108</v>
      </c>
    </row>
    <row r="100" spans="3:9" ht="15.6" hidden="1" x14ac:dyDescent="0.25">
      <c r="C100" s="110"/>
      <c r="D100" s="110" t="s">
        <v>2</v>
      </c>
      <c r="E100" s="110" t="s">
        <v>73</v>
      </c>
      <c r="F100" s="110"/>
      <c r="G100" s="110"/>
      <c r="H100" s="110" t="s">
        <v>73</v>
      </c>
      <c r="I100" s="110" t="s">
        <v>96</v>
      </c>
    </row>
    <row r="101" spans="3:9" ht="15.6" hidden="1" x14ac:dyDescent="0.25">
      <c r="C101" s="110">
        <v>1</v>
      </c>
      <c r="D101" s="111" t="str">
        <f>이름기초!$B$11</f>
        <v>한영희</v>
      </c>
      <c r="E101" s="112" t="str" cm="1">
        <f t="array" ref="E101">_xlfn.TEXTJOIN(", ", TRUE, IF($E$90:$K$96=D101, IF($E$89:$K$89&lt;&gt;"", $E$89:$K$89, ""), ""))</f>
        <v/>
      </c>
      <c r="F101" s="110" t="str">
        <f t="shared" ref="F101:F103" si="8">IF(E101="일요일, 토요일","토요일, 일요일",E101)</f>
        <v/>
      </c>
      <c r="G101" s="110" t="str">
        <f t="shared" ref="G101:G102" si="9">IFERROR(LEFT(F101,FIND(",",F101)-1),"")</f>
        <v/>
      </c>
      <c r="H101" s="110" t="str">
        <f t="shared" ref="H101:H103" si="10">IFERROR(RIGHT(F101,LEN(F101)-FIND(",",F101)),"")</f>
        <v/>
      </c>
      <c r="I101" s="113" t="str">
        <f t="shared" ref="I101:I109" si="11">SUBSTITUTE(H101," ","")</f>
        <v/>
      </c>
    </row>
    <row r="102" spans="3:9" ht="15.6" hidden="1" x14ac:dyDescent="0.25">
      <c r="C102" s="110">
        <v>2</v>
      </c>
      <c r="D102" s="111" t="str">
        <f>이름기초!$B$12</f>
        <v>장영대</v>
      </c>
      <c r="E102" s="112" t="str" cm="1">
        <f t="array" ref="E102">_xlfn.TEXTJOIN(", ", TRUE, IF($E$90:$K$96=D102, IF($E$89:$K$89&lt;&gt;"", $E$89:$K$89, ""), ""))</f>
        <v>목요일, 금요일</v>
      </c>
      <c r="F102" s="110" t="str">
        <f t="shared" si="8"/>
        <v>목요일, 금요일</v>
      </c>
      <c r="G102" s="110" t="str">
        <f t="shared" si="9"/>
        <v>목요일</v>
      </c>
      <c r="H102" s="110" t="str">
        <f t="shared" si="10"/>
        <v xml:space="preserve"> 금요일</v>
      </c>
      <c r="I102" s="113" t="str">
        <f t="shared" si="11"/>
        <v>금요일</v>
      </c>
    </row>
    <row r="103" spans="3:9" ht="15.6" hidden="1" x14ac:dyDescent="0.25">
      <c r="C103" s="110">
        <v>3</v>
      </c>
      <c r="D103" s="111" t="str">
        <f>이름기초!$B$13</f>
        <v>위선옥</v>
      </c>
      <c r="E103" s="112" t="str" cm="1">
        <f t="array" ref="E103">_xlfn.TEXTJOIN(", ", TRUE, IF($E$90:$K$96=D103, IF($E$89:$K$89&lt;&gt;"", $E$89:$K$89, ""), ""))</f>
        <v>수요일, 목요일</v>
      </c>
      <c r="F103" s="110" t="str">
        <f t="shared" si="8"/>
        <v>수요일, 목요일</v>
      </c>
      <c r="G103" s="110" t="str">
        <f>IFERROR(LEFT(F103,FIND(",",F103)-1),"")</f>
        <v>수요일</v>
      </c>
      <c r="H103" s="110" t="str">
        <f t="shared" si="10"/>
        <v xml:space="preserve"> 목요일</v>
      </c>
      <c r="I103" s="113" t="str">
        <f t="shared" si="11"/>
        <v>목요일</v>
      </c>
    </row>
    <row r="104" spans="3:9" ht="15.6" hidden="1" x14ac:dyDescent="0.25">
      <c r="C104" s="110">
        <v>4</v>
      </c>
      <c r="D104" s="111" t="str">
        <f>이름기초!$B$14</f>
        <v>오광웅</v>
      </c>
      <c r="E104" s="112" t="str" cm="1">
        <f t="array" ref="E104">_xlfn.TEXTJOIN(", ", TRUE, IF($E$90:$K$96=D104, IF($E$89:$K$89&lt;&gt;"", $E$89:$K$89, ""), ""))</f>
        <v>일요일, 월요일</v>
      </c>
      <c r="F104" s="110" t="str">
        <f>IF(E104="일요일, 토요일","토요일, 일요일",E104)</f>
        <v>일요일, 월요일</v>
      </c>
      <c r="G104" s="110" t="str">
        <f t="shared" ref="G104:G109" si="12">IFERROR(LEFT(F104,FIND(",",F104)-1),"")</f>
        <v>일요일</v>
      </c>
      <c r="H104" s="110" t="str">
        <f>IFERROR(RIGHT(F104,LEN(F104)-FIND(",",F104)),"")</f>
        <v xml:space="preserve"> 월요일</v>
      </c>
      <c r="I104" s="113" t="str">
        <f t="shared" si="11"/>
        <v>월요일</v>
      </c>
    </row>
    <row r="105" spans="3:9" ht="15.6" hidden="1" x14ac:dyDescent="0.25">
      <c r="C105" s="110">
        <v>5</v>
      </c>
      <c r="D105" s="111" t="str">
        <f>이름기초!$B$15</f>
        <v>안성용</v>
      </c>
      <c r="E105" s="112" t="str" cm="1">
        <f t="array" ref="E105">_xlfn.TEXTJOIN(", ",TRUE,IF($E$90:$K$96=D105,IF($E$89:$K$89&lt;&gt;"",$E$89:$K$89,""),""))</f>
        <v>일요일, 토요일</v>
      </c>
      <c r="F105" s="110" t="str">
        <f t="shared" ref="F105:F109" si="13">IF(E105="일요일, 토요일","토요일, 일요일",E105)</f>
        <v>토요일, 일요일</v>
      </c>
      <c r="G105" s="110" t="str">
        <f t="shared" si="12"/>
        <v>토요일</v>
      </c>
      <c r="H105" s="110" t="str">
        <f t="shared" ref="H105:H109" si="14">IFERROR(RIGHT(F105,LEN(F105)-FIND(",",F105)),"")</f>
        <v xml:space="preserve"> 일요일</v>
      </c>
      <c r="I105" s="113" t="str">
        <f t="shared" si="11"/>
        <v>일요일</v>
      </c>
    </row>
    <row r="106" spans="3:9" ht="15.6" hidden="1" x14ac:dyDescent="0.25">
      <c r="C106" s="110">
        <v>6</v>
      </c>
      <c r="D106" s="111" t="str">
        <f>이름기초!$B$16</f>
        <v>신대진</v>
      </c>
      <c r="E106" s="112" t="str" cm="1">
        <f t="array" ref="E106">_xlfn.TEXTJOIN(", ", TRUE, IF($E$90:$K$96=D106, IF($E$89:$K$89&lt;&gt;"", $E$89:$K$89, ""), ""))</f>
        <v/>
      </c>
      <c r="F106" s="110" t="str">
        <f t="shared" si="13"/>
        <v/>
      </c>
      <c r="G106" s="110" t="str">
        <f t="shared" si="12"/>
        <v/>
      </c>
      <c r="H106" s="110" t="str">
        <f t="shared" si="14"/>
        <v/>
      </c>
      <c r="I106" s="113" t="str">
        <f t="shared" si="11"/>
        <v/>
      </c>
    </row>
    <row r="107" spans="3:9" ht="15.6" hidden="1" x14ac:dyDescent="0.25">
      <c r="C107" s="110">
        <v>7</v>
      </c>
      <c r="D107" s="111" t="str">
        <f>이름기초!$B$17</f>
        <v>김대화</v>
      </c>
      <c r="E107" s="112" t="str" cm="1">
        <f t="array" ref="E107">_xlfn.TEXTJOIN(", ", TRUE, IF($E$90:$K$96=D107, IF($E$89:$K$89&lt;&gt;"", $E$89:$K$89, ""), ""))</f>
        <v>월요일, 화요일</v>
      </c>
      <c r="F107" s="110" t="str">
        <f t="shared" si="13"/>
        <v>월요일, 화요일</v>
      </c>
      <c r="G107" s="110" t="str">
        <f t="shared" si="12"/>
        <v>월요일</v>
      </c>
      <c r="H107" s="110" t="str">
        <f t="shared" si="14"/>
        <v xml:space="preserve"> 화요일</v>
      </c>
      <c r="I107" s="113" t="str">
        <f t="shared" si="11"/>
        <v>화요일</v>
      </c>
    </row>
    <row r="108" spans="3:9" ht="15.6" hidden="1" x14ac:dyDescent="0.25">
      <c r="C108" s="110">
        <v>8</v>
      </c>
      <c r="D108" s="111" t="str">
        <f>이름기초!$B$18</f>
        <v>김제원</v>
      </c>
      <c r="E108" s="112" t="str" cm="1">
        <f t="array" ref="E108">_xlfn.TEXTJOIN(", ", TRUE, IF($E$90:$K$96=D108, IF($E$89:$K$89&lt;&gt;"", $E$89:$K$89, ""), ""))</f>
        <v>금요일, 토요일</v>
      </c>
      <c r="F108" s="110" t="str">
        <f t="shared" si="13"/>
        <v>금요일, 토요일</v>
      </c>
      <c r="G108" s="110" t="str">
        <f t="shared" si="12"/>
        <v>금요일</v>
      </c>
      <c r="H108" s="110" t="str">
        <f t="shared" si="14"/>
        <v xml:space="preserve"> 토요일</v>
      </c>
      <c r="I108" s="113" t="str">
        <f t="shared" si="11"/>
        <v>토요일</v>
      </c>
    </row>
    <row r="109" spans="3:9" ht="15.6" hidden="1" x14ac:dyDescent="0.25">
      <c r="C109" s="110">
        <v>9</v>
      </c>
      <c r="D109" s="111" t="str">
        <f>이름기초!$B$19</f>
        <v>공란</v>
      </c>
      <c r="E109" s="112" t="str" cm="1">
        <f t="array" ref="E109">_xlfn.TEXTJOIN(", ", TRUE, IF($E$90:$K$96=D109, IF($E$89:$K$89&lt;&gt;"", $E$89:$K$89, ""), ""))</f>
        <v/>
      </c>
      <c r="F109" s="110" t="str">
        <f t="shared" si="13"/>
        <v/>
      </c>
      <c r="G109" s="110" t="str">
        <f t="shared" si="12"/>
        <v/>
      </c>
      <c r="H109" s="110" t="str">
        <f t="shared" si="14"/>
        <v/>
      </c>
      <c r="I109" s="113" t="str">
        <f t="shared" si="11"/>
        <v/>
      </c>
    </row>
    <row r="110" spans="3:9" hidden="1" x14ac:dyDescent="0.25"/>
    <row r="111" spans="3:9" x14ac:dyDescent="0.25">
      <c r="F111" s="114"/>
    </row>
  </sheetData>
  <mergeCells count="8">
    <mergeCell ref="C93:C96"/>
    <mergeCell ref="C90:C92"/>
    <mergeCell ref="J2:L2"/>
    <mergeCell ref="E25:H25"/>
    <mergeCell ref="I25:J25"/>
    <mergeCell ref="C65:D65"/>
    <mergeCell ref="K25:O25"/>
    <mergeCell ref="M90:M91"/>
  </mergeCells>
  <phoneticPr fontId="6" type="noConversion"/>
  <conditionalFormatting sqref="D90:D96">
    <cfRule type="expression" dxfId="2" priority="1">
      <formula>COUNTIF($E90:$K90, $D90) &lt;&gt; 2</formula>
    </cfRule>
  </conditionalFormatting>
  <dataValidations count="3">
    <dataValidation type="list" allowBlank="1" showInputMessage="1" showErrorMessage="1" sqref="I26:J34" xr:uid="{08AB6AA5-3574-49E6-955E-D8C537007AC0}">
      <formula1>요일</formula1>
    </dataValidation>
    <dataValidation type="list" allowBlank="1" showInputMessage="1" showErrorMessage="1" sqref="E90:K96" xr:uid="{7776A714-13EC-4DA7-87E5-DC47BE5C3ED0}">
      <formula1>$D90</formula1>
    </dataValidation>
    <dataValidation type="list" allowBlank="1" showInputMessage="1" showErrorMessage="1" sqref="N91" xr:uid="{9FC390C2-AEC0-428E-8EB6-FEFA35E7779C}">
      <formula1>성명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CE3CBF5F-D50A-4DBF-93A6-4631EB25BA2B}">
            <xm:f>OR(AND(D$17=조편성!$G$26,D18=조편성!$F$26), AND(D$17=조편성!$G$27,D18=조편성!$F$27), AND(D$17=조편성!$G$28,D18=조편성!$F$28), AND(D$17=조편성!$G$29,D18=조편성!$F$29), AND(D$17=조편성!$G$30,D18=조편성!$F$30), AND(D$17=조편성!$G$31,D18=조편성!$F$31), AND(D$17=조편성!$G$32,D18=조편성!$F$32))</xm:f>
            <x14:dxf>
              <fill>
                <patternFill>
                  <bgColor rgb="FFFFFF00"/>
                </patternFill>
              </fill>
            </x14:dxf>
          </x14:cfRule>
          <xm:sqref>D18:L22</xm:sqref>
        </x14:conditionalFormatting>
        <x14:conditionalFormatting xmlns:xm="http://schemas.microsoft.com/office/excel/2006/main">
          <x14:cfRule type="expression" priority="6" id="{B4122D2A-6C84-4352-88A6-0468B9B8F9BC}">
            <xm:f>OR(AND($D26=조편성!$G$26, K26=조편성!$F$26), AND($D26=조편성!$G$27,K26=조편성!$F$27), AND($D26=조편성!$G$28,K26=조편성!$F$28), AND($D26=조편성!$G$29,K26=조편성!$F$29), AND($D26=조편성!$G$30,K26=조편성!$F$30), AND($D26=조편성!$G$31,K26=조편성!$F$31), AND($D26=조편성!$G$32,K26=조편성!$F$32))</xm:f>
            <x14:dxf>
              <fill>
                <patternFill>
                  <bgColor rgb="FFFFFF00"/>
                </patternFill>
              </fill>
            </x14:dxf>
          </x14:cfRule>
          <xm:sqref>K26:O34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6DEF0-05EE-41C7-8EAA-6A9D0CFD77E1}">
  <dimension ref="A1:G11"/>
  <sheetViews>
    <sheetView workbookViewId="0">
      <selection activeCell="A2" sqref="A2:G11"/>
    </sheetView>
  </sheetViews>
  <sheetFormatPr defaultRowHeight="13.2" x14ac:dyDescent="0.25"/>
  <sheetData>
    <row r="1" spans="1:7" ht="13.8" thickBot="1" x14ac:dyDescent="0.3"/>
    <row r="2" spans="1:7" ht="15.6" x14ac:dyDescent="0.25">
      <c r="A2" s="158" t="s">
        <v>2</v>
      </c>
      <c r="B2" s="159" t="s">
        <v>31</v>
      </c>
      <c r="C2" s="160" t="s">
        <v>64</v>
      </c>
      <c r="D2" s="160" t="s">
        <v>65</v>
      </c>
      <c r="E2" s="161" t="s">
        <v>83</v>
      </c>
      <c r="F2" s="162" t="s">
        <v>84</v>
      </c>
      <c r="G2" s="163" t="s">
        <v>107</v>
      </c>
    </row>
    <row r="3" spans="1:7" x14ac:dyDescent="0.25">
      <c r="A3" s="164" t="str">
        <f>이름기초!$B$11</f>
        <v>한영희</v>
      </c>
      <c r="B3" s="165">
        <f>COUNTIF(월근무표기초!$A$1:$H$33,"*" &amp;$A3&amp; "*")-COUNTIF(조편성!$B$46:'조편성'!$K$49,"*"&amp;$A3&amp;"*")</f>
        <v>12</v>
      </c>
      <c r="C3" s="166">
        <f t="shared" ref="C3:C11" si="0">B3*8</f>
        <v>96</v>
      </c>
      <c r="D3" s="166">
        <f>IF(OR($A3=조편성!$C$30,$A3=조편성!$D$30),B3*4,COUNTIF(조편성!$G$26:'조편성'!$G$33,'4주용'!A3)*4)</f>
        <v>48</v>
      </c>
      <c r="E3" s="166">
        <f t="shared" ref="E3:E11" si="1">C3+D3</f>
        <v>144</v>
      </c>
      <c r="F3" s="166">
        <f>월총근무일과시간!$E$9</f>
        <v>160</v>
      </c>
      <c r="G3" s="167">
        <f t="shared" ref="G3:G11" si="2">F3-E3</f>
        <v>16</v>
      </c>
    </row>
    <row r="4" spans="1:7" x14ac:dyDescent="0.25">
      <c r="A4" s="164" t="str">
        <f>이름기초!$B$12</f>
        <v>장영대</v>
      </c>
      <c r="B4" s="165">
        <f>COUNTIF(월근무표기초!$A$1:$H$33,"*" &amp;$A4&amp; "*")-COUNTIF(조편성!$B$46:'조편성'!$K$49,"*"&amp;$A4&amp;"*")</f>
        <v>18</v>
      </c>
      <c r="C4" s="166">
        <f t="shared" si="0"/>
        <v>144</v>
      </c>
      <c r="D4" s="166">
        <f>IF(OR($A4=조편성!$C$30,$A4=조편성!$D$30),B4*4,COUNTIF(조편성!$G$26:'조편성'!$G$33,'4주용'!A4)*4)</f>
        <v>0</v>
      </c>
      <c r="E4" s="166">
        <f t="shared" si="1"/>
        <v>144</v>
      </c>
      <c r="F4" s="166">
        <f>월총근무일과시간!$E$9</f>
        <v>160</v>
      </c>
      <c r="G4" s="167">
        <f t="shared" si="2"/>
        <v>16</v>
      </c>
    </row>
    <row r="5" spans="1:7" x14ac:dyDescent="0.25">
      <c r="A5" s="164" t="str">
        <f>이름기초!$B$13</f>
        <v>위선옥</v>
      </c>
      <c r="B5" s="165">
        <f>COUNTIF(월근무표기초!$A$1:$H$33,"*" &amp;$A5&amp; "*")-COUNTIF(조편성!$B$46:'조편성'!$K$49,"*"&amp;$A5&amp;"*")</f>
        <v>6</v>
      </c>
      <c r="C5" s="166">
        <f t="shared" si="0"/>
        <v>48</v>
      </c>
      <c r="D5" s="166">
        <f>IF(OR($A5=조편성!$C$30,$A5=조편성!$D$30),B5*4,COUNTIF(조편성!$G$26:'조편성'!$G$33,'4주용'!A5)*4)</f>
        <v>0</v>
      </c>
      <c r="E5" s="166">
        <f t="shared" si="1"/>
        <v>48</v>
      </c>
      <c r="F5" s="166">
        <f>월총근무일과시간!$E$9</f>
        <v>160</v>
      </c>
      <c r="G5" s="167">
        <f t="shared" si="2"/>
        <v>112</v>
      </c>
    </row>
    <row r="6" spans="1:7" x14ac:dyDescent="0.25">
      <c r="A6" s="164" t="str">
        <f>이름기초!$B$14</f>
        <v>오광웅</v>
      </c>
      <c r="B6" s="165">
        <f>COUNTIF(월근무표기초!$A$1:$H$33,"*" &amp;$A6&amp; "*")-COUNTIF(조편성!$B$46:'조편성'!$K$49,"*"&amp;$A6&amp;"*")</f>
        <v>18</v>
      </c>
      <c r="C6" s="166">
        <f t="shared" si="0"/>
        <v>144</v>
      </c>
      <c r="D6" s="166">
        <f>IF(OR($A6=조편성!$C$30,$A6=조편성!$D$30),B6*4,COUNTIF(조편성!$G$26:'조편성'!$G$33,'4주용'!A6)*4)</f>
        <v>12</v>
      </c>
      <c r="E6" s="166">
        <f t="shared" si="1"/>
        <v>156</v>
      </c>
      <c r="F6" s="166">
        <f>월총근무일과시간!$E$9</f>
        <v>160</v>
      </c>
      <c r="G6" s="167">
        <f t="shared" si="2"/>
        <v>4</v>
      </c>
    </row>
    <row r="7" spans="1:7" x14ac:dyDescent="0.25">
      <c r="A7" s="164" t="str">
        <f>이름기초!$B$15</f>
        <v>안성용</v>
      </c>
      <c r="B7" s="165">
        <f>COUNTIF(월근무표기초!$A$1:$H$33,"*" &amp;$A7&amp; "*")-COUNTIF(조편성!$B$46:'조편성'!$K$49,"*"&amp;$A7&amp;"*")</f>
        <v>19</v>
      </c>
      <c r="C7" s="166">
        <f t="shared" si="0"/>
        <v>152</v>
      </c>
      <c r="D7" s="166">
        <f>IF(OR($A7=조편성!$C$30,$A7=조편성!$D$30),B7*4,COUNTIF(조편성!$G$26:'조편성'!$G$33,'4주용'!A7)*4)</f>
        <v>0</v>
      </c>
      <c r="E7" s="166">
        <f t="shared" si="1"/>
        <v>152</v>
      </c>
      <c r="F7" s="166">
        <f>월총근무일과시간!$E$9</f>
        <v>160</v>
      </c>
      <c r="G7" s="167">
        <f t="shared" si="2"/>
        <v>8</v>
      </c>
    </row>
    <row r="8" spans="1:7" x14ac:dyDescent="0.25">
      <c r="A8" s="164" t="str">
        <f>이름기초!$B$16</f>
        <v>신대진</v>
      </c>
      <c r="B8" s="165">
        <f>COUNTIF(월근무표기초!$A$1:$H$33,"*" &amp;$A8&amp; "*")-COUNTIF(조편성!$B$46:'조편성'!$K$49,"*"&amp;$A8&amp;"*")</f>
        <v>12</v>
      </c>
      <c r="C8" s="166">
        <f t="shared" si="0"/>
        <v>96</v>
      </c>
      <c r="D8" s="166">
        <f>IF(OR($A8=조편성!$C$30,$A8=조편성!$D$30),B8*4,COUNTIF(조편성!$G$26:'조편성'!$G$33,'4주용'!A8)*4)</f>
        <v>48</v>
      </c>
      <c r="E8" s="166">
        <f t="shared" si="1"/>
        <v>144</v>
      </c>
      <c r="F8" s="166">
        <f>월총근무일과시간!$E$9</f>
        <v>160</v>
      </c>
      <c r="G8" s="167">
        <f t="shared" si="2"/>
        <v>16</v>
      </c>
    </row>
    <row r="9" spans="1:7" x14ac:dyDescent="0.25">
      <c r="A9" s="164" t="str">
        <f>이름기초!$B$17</f>
        <v>김대화</v>
      </c>
      <c r="B9" s="165">
        <f>COUNTIF(월근무표기초!$A$1:$H$33,"*" &amp;$A9&amp; "*")-COUNTIF(조편성!$B$46:'조편성'!$K$49,"*"&amp;$A9&amp;"*")</f>
        <v>19</v>
      </c>
      <c r="C9" s="166">
        <f t="shared" si="0"/>
        <v>152</v>
      </c>
      <c r="D9" s="166">
        <f>IF(OR($A9=조편성!$C$30,$A9=조편성!$D$30),B9*4,COUNTIF(조편성!$G$26:'조편성'!$G$33,'4주용'!A9)*4)</f>
        <v>0</v>
      </c>
      <c r="E9" s="166">
        <f t="shared" si="1"/>
        <v>152</v>
      </c>
      <c r="F9" s="166">
        <f>월총근무일과시간!$E$9</f>
        <v>160</v>
      </c>
      <c r="G9" s="167">
        <f t="shared" si="2"/>
        <v>8</v>
      </c>
    </row>
    <row r="10" spans="1:7" x14ac:dyDescent="0.25">
      <c r="A10" s="164" t="str">
        <f>이름기초!$B$18</f>
        <v>김제원</v>
      </c>
      <c r="B10" s="165">
        <f>COUNTIF(월근무표기초!$A$1:$H$33,"*" &amp;$A10&amp; "*")-COUNTIF(조편성!$B$46:'조편성'!$K$49,"*"&amp;$A10&amp;"*")</f>
        <v>17</v>
      </c>
      <c r="C10" s="166">
        <f t="shared" si="0"/>
        <v>136</v>
      </c>
      <c r="D10" s="166">
        <f>IF(OR($A10=조편성!$C$30,$A10=조편성!$D$30),B10*4,COUNTIF(조편성!$G$26:'조편성'!$G$33,'4주용'!A10)*4)</f>
        <v>8</v>
      </c>
      <c r="E10" s="166">
        <f t="shared" si="1"/>
        <v>144</v>
      </c>
      <c r="F10" s="166">
        <f>월총근무일과시간!$E$9</f>
        <v>160</v>
      </c>
      <c r="G10" s="167">
        <f t="shared" si="2"/>
        <v>16</v>
      </c>
    </row>
    <row r="11" spans="1:7" ht="13.8" thickBot="1" x14ac:dyDescent="0.3">
      <c r="A11" s="168" t="str">
        <f>이름기초!$B$19</f>
        <v>공란</v>
      </c>
      <c r="B11" s="165">
        <f>COUNTIF(월근무표기초!$A$1:$H$33,"*" &amp;$A11&amp; "*")-COUNTIF(조편성!$B$46:'조편성'!$K$49,"*"&amp;$A11&amp;"*")</f>
        <v>0</v>
      </c>
      <c r="C11" s="169">
        <f t="shared" si="0"/>
        <v>0</v>
      </c>
      <c r="D11" s="169">
        <f>IF(OR($A11=조편성!$C$30,$A11=조편성!$D$30),B11*4,COUNTIF(조편성!$G$26:'조편성'!$G$33,'4주용'!A11)*4)</f>
        <v>0</v>
      </c>
      <c r="E11" s="169">
        <f t="shared" si="1"/>
        <v>0</v>
      </c>
      <c r="F11" s="169">
        <f>월총근무일과시간!$E$9</f>
        <v>160</v>
      </c>
      <c r="G11" s="167">
        <f t="shared" si="2"/>
        <v>160</v>
      </c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0"/>
  <dimension ref="A1:AQ38"/>
  <sheetViews>
    <sheetView zoomScale="75" zoomScaleNormal="75" zoomScaleSheetLayoutView="75" workbookViewId="0">
      <selection activeCell="G2" sqref="G2"/>
    </sheetView>
  </sheetViews>
  <sheetFormatPr defaultColWidth="8.77734375" defaultRowHeight="19.95" customHeight="1" x14ac:dyDescent="0.25"/>
  <cols>
    <col min="1" max="8" width="23.77734375" customWidth="1"/>
    <col min="9" max="10" width="9" customWidth="1"/>
    <col min="11" max="11" width="17" customWidth="1"/>
    <col min="12" max="12" width="14.33203125" customWidth="1"/>
    <col min="13" max="46" width="22.109375" customWidth="1"/>
  </cols>
  <sheetData>
    <row r="1" spans="1:9" ht="13.2" x14ac:dyDescent="0.25"/>
    <row r="2" spans="1:9" s="8" customFormat="1" ht="24" customHeight="1" x14ac:dyDescent="0.25">
      <c r="B2" s="8" t="s">
        <v>22</v>
      </c>
      <c r="G2" s="5">
        <f>월총근무일과시간!F2</f>
        <v>2025</v>
      </c>
      <c r="H2" s="6">
        <f>월총근무일과시간!G2</f>
        <v>3</v>
      </c>
    </row>
    <row r="3" spans="1:9" s="7" customFormat="1" ht="18.45" customHeight="1" x14ac:dyDescent="0.25">
      <c r="A3" s="10"/>
      <c r="B3" s="1" t="s">
        <v>5</v>
      </c>
      <c r="C3" s="1" t="s">
        <v>15</v>
      </c>
      <c r="D3" s="1" t="s">
        <v>8</v>
      </c>
      <c r="E3" s="11" t="s">
        <v>1</v>
      </c>
      <c r="F3" s="11" t="s">
        <v>17</v>
      </c>
      <c r="G3" s="11" t="s">
        <v>16</v>
      </c>
      <c r="H3" s="11" t="s">
        <v>9</v>
      </c>
    </row>
    <row r="4" spans="1:9" s="7" customFormat="1" ht="18.45" customHeight="1" x14ac:dyDescent="0.25">
      <c r="A4" s="1" t="s">
        <v>3</v>
      </c>
      <c r="B4" s="12">
        <f>DATE(G$2,H$2,1)-WEEKDAY(DATE($G$2,$H$2,1),1)+1</f>
        <v>45711</v>
      </c>
      <c r="C4" s="12">
        <f t="shared" ref="C4:H4" si="0">B4+1</f>
        <v>45712</v>
      </c>
      <c r="D4" s="12">
        <f t="shared" si="0"/>
        <v>45713</v>
      </c>
      <c r="E4" s="12">
        <f t="shared" si="0"/>
        <v>45714</v>
      </c>
      <c r="F4" s="12">
        <f t="shared" si="0"/>
        <v>45715</v>
      </c>
      <c r="G4" s="12">
        <f t="shared" si="0"/>
        <v>45716</v>
      </c>
      <c r="H4" s="12">
        <f t="shared" si="0"/>
        <v>45717</v>
      </c>
    </row>
    <row r="5" spans="1:9" s="7" customFormat="1" ht="18.45" customHeight="1" x14ac:dyDescent="0.25">
      <c r="A5" s="1" t="s">
        <v>29</v>
      </c>
      <c r="B5" s="1" t="str">
        <f>IF(MONTH(B$4)&lt;&gt;MONTH(DATE($G$2,$H$2,1)),"",INDEX(조편성!$D14:$AH14,MATCH(B$4,조편성!$D$13:$AH$13,0)))</f>
        <v/>
      </c>
      <c r="C5" s="1" t="str">
        <f>IF(MONTH(C$4)&lt;&gt;MONTH(DATE($G$2,$H$2,1)),"",INDEX(조편성!$D14:$AH14,MATCH(C$4,조편성!$D$13:$AH$13,0)))</f>
        <v/>
      </c>
      <c r="D5" s="1" t="str">
        <f>IF(MONTH(D$4)&lt;&gt;MONTH(DATE($G$2,$H$2,1)),"",INDEX(조편성!$D14:$AH14,MATCH(D$4,조편성!$D$13:$AH$13,0)))</f>
        <v/>
      </c>
      <c r="E5" s="1" t="str">
        <f>IF(MONTH(E$4)&lt;&gt;MONTH(DATE($G$2,$H$2,1)),"",INDEX(조편성!$D14:$AH14,MATCH(E$4,조편성!$D$13:$AH$13,0)))</f>
        <v/>
      </c>
      <c r="F5" s="1" t="str">
        <f>IF(MONTH(F$4)&lt;&gt;MONTH(DATE($G$2,$H$2,1)),"",INDEX(조편성!$D14:$AH14,MATCH(F$4,조편성!$D$13:$AH$13,0)))</f>
        <v/>
      </c>
      <c r="G5" s="1" t="str">
        <f>IF(MONTH(G$4)&lt;&gt;MONTH(DATE($G$2,$H$2,1)),"",INDEX(조편성!$D14:$AH14,MATCH(G$4,조편성!$D$13:$AH$13,0)))</f>
        <v/>
      </c>
      <c r="H5" s="1" t="str">
        <f>IF(MONTH(H$4)&lt;&gt;MONTH(DATE($G$2,$H$2,1)),"",INDEX(조편성!$D14:$AH14,MATCH(H$4,조편성!$D$13:$AH$13,0)))</f>
        <v>장영대김대화</v>
      </c>
    </row>
    <row r="6" spans="1:9" s="4" customFormat="1" ht="18.45" customHeight="1" x14ac:dyDescent="0.25">
      <c r="A6" s="1"/>
      <c r="B6" s="1" t="str">
        <f>IF(MONTH(B$4)&lt;&gt;MONTH(DATE($G$2,$H$2,1)),"",INDEX(조편성!$D15:$AH15,MATCH(B$4,조편성!$D$13:$AH$13,0)))</f>
        <v/>
      </c>
      <c r="C6" s="1" t="str">
        <f>IF(MONTH(C$4)&lt;&gt;MONTH(DATE($G$2,$H$2,1)),"",INDEX(조편성!$D15:$AH15,MATCH(C$4,조편성!$D$13:$AH$13,0)))</f>
        <v/>
      </c>
      <c r="D6" s="1" t="str">
        <f>IF(MONTH(D$4)&lt;&gt;MONTH(DATE($G$2,$H$2,1)),"",INDEX(조편성!$D15:$AH15,MATCH(D$4,조편성!$D$13:$AH$13,0)))</f>
        <v/>
      </c>
      <c r="E6" s="1" t="str">
        <f>IF(MONTH(E$4)&lt;&gt;MONTH(DATE($G$2,$H$2,1)),"",INDEX(조편성!$D15:$AH15,MATCH(E$4,조편성!$D$13:$AH$13,0)))</f>
        <v/>
      </c>
      <c r="F6" s="1" t="str">
        <f>IF(MONTH(F$4)&lt;&gt;MONTH(DATE($G$2,$H$2,1)),"",INDEX(조편성!$D15:$AH15,MATCH(F$4,조편성!$D$13:$AH$13,0)))</f>
        <v/>
      </c>
      <c r="G6" s="1" t="str">
        <f>IF(MONTH(G$4)&lt;&gt;MONTH(DATE($G$2,$H$2,1)),"",INDEX(조편성!$D15:$AH15,MATCH(G$4,조편성!$D$13:$AH$13,0)))</f>
        <v/>
      </c>
      <c r="H6" s="1" t="str">
        <f>IF(MONTH(H$4)&lt;&gt;MONTH(DATE($G$2,$H$2,1)),"",INDEX(조편성!$D15:$AH15,MATCH(H$4,조편성!$D$13:$AH$13,0)))</f>
        <v/>
      </c>
      <c r="I6" s="7"/>
    </row>
    <row r="7" spans="1:9" s="7" customFormat="1" ht="18.45" customHeight="1" x14ac:dyDescent="0.25">
      <c r="A7" s="1" t="s">
        <v>27</v>
      </c>
      <c r="B7" s="1" t="str">
        <f>IF(MONTH(B$4)&lt;&gt;MONTH(DATE($G$2,$H$2,1)),"",INDEX(조편성!$D16:$AH16,MATCH(B$4,조편성!$D$13:$AH$13,0)))</f>
        <v/>
      </c>
      <c r="C7" s="1" t="str">
        <f>IF(MONTH(C$4)&lt;&gt;MONTH(DATE($G$2,$H$2,1)),"",INDEX(조편성!$D16:$AH16,MATCH(C$4,조편성!$D$13:$AH$13,0)))</f>
        <v/>
      </c>
      <c r="D7" s="1" t="str">
        <f>IF(MONTH(D$4)&lt;&gt;MONTH(DATE($G$2,$H$2,1)),"",INDEX(조편성!$D16:$AH16,MATCH(D$4,조편성!$D$13:$AH$13,0)))</f>
        <v/>
      </c>
      <c r="E7" s="1" t="str">
        <f>IF(MONTH(E$4)&lt;&gt;MONTH(DATE($G$2,$H$2,1)),"",INDEX(조편성!$D16:$AH16,MATCH(E$4,조편성!$D$13:$AH$13,0)))</f>
        <v/>
      </c>
      <c r="F7" s="1" t="str">
        <f>IF(MONTH(F$4)&lt;&gt;MONTH(DATE($G$2,$H$2,1)),"",INDEX(조편성!$D16:$AH16,MATCH(F$4,조편성!$D$13:$AH$13,0)))</f>
        <v/>
      </c>
      <c r="G7" s="1" t="str">
        <f>IF(MONTH(G$4)&lt;&gt;MONTH(DATE($G$2,$H$2,1)),"",INDEX(조편성!$D16:$AH16,MATCH(G$4,조편성!$D$13:$AH$13,0)))</f>
        <v/>
      </c>
      <c r="H7" s="1" t="str">
        <f>IF(MONTH(H$4)&lt;&gt;MONTH(DATE($G$2,$H$2,1)),"",INDEX(조편성!$D16:$AH16,MATCH(H$4,조편성!$D$13:$AH$13,0)))</f>
        <v/>
      </c>
    </row>
    <row r="8" spans="1:9" s="4" customFormat="1" ht="18.45" customHeight="1" x14ac:dyDescent="0.25">
      <c r="A8" s="1"/>
      <c r="B8" s="1" t="str">
        <f>IF(MONTH(B$4)&lt;&gt;MONTH(DATE($G$2,$H$2,1)),"",INDEX(조편성!$D17:$AH17,MATCH(B$4,조편성!$D$13:$AH$13,0)))</f>
        <v/>
      </c>
      <c r="C8" s="1" t="str">
        <f>IF(MONTH(C$4)&lt;&gt;MONTH(DATE($G$2,$H$2,1)),"",INDEX(조편성!$D17:$AH17,MATCH(C$4,조편성!$D$13:$AH$13,0)))</f>
        <v/>
      </c>
      <c r="D8" s="1" t="str">
        <f>IF(MONTH(D$4)&lt;&gt;MONTH(DATE($G$2,$H$2,1)),"",INDEX(조편성!$D17:$AH17,MATCH(D$4,조편성!$D$13:$AH$13,0)))</f>
        <v/>
      </c>
      <c r="E8" s="1" t="str">
        <f>IF(MONTH(E$4)&lt;&gt;MONTH(DATE($G$2,$H$2,1)),"",INDEX(조편성!$D17:$AH17,MATCH(E$4,조편성!$D$13:$AH$13,0)))</f>
        <v/>
      </c>
      <c r="F8" s="1" t="str">
        <f>IF(MONTH(F$4)&lt;&gt;MONTH(DATE($G$2,$H$2,1)),"",INDEX(조편성!$D17:$AH17,MATCH(F$4,조편성!$D$13:$AH$13,0)))</f>
        <v/>
      </c>
      <c r="G8" s="1" t="str">
        <f>IF(MONTH(G$4)&lt;&gt;MONTH(DATE($G$2,$H$2,1)),"",INDEX(조편성!$D17:$AH17,MATCH(G$4,조편성!$D$13:$AH$13,0)))</f>
        <v/>
      </c>
      <c r="H8" s="1" t="str">
        <f>IF(MONTH(H$4)&lt;&gt;MONTH(DATE($G$2,$H$2,1)),"",INDEX(조편성!$D17:$AH17,MATCH(H$4,조편성!$D$13:$AH$13,0)))</f>
        <v>위선옥</v>
      </c>
      <c r="I8" s="7"/>
    </row>
    <row r="9" spans="1:9" s="7" customFormat="1" ht="18.45" customHeight="1" x14ac:dyDescent="0.25">
      <c r="A9" s="1" t="s">
        <v>25</v>
      </c>
      <c r="B9" s="1" t="str">
        <f>IF(MONTH(B$4)&lt;&gt;MONTH(DATE($G$2,$H$2,1)),"",INDEX(조편성!$D20:$AH20,MATCH(B$4,조편성!$D$13:$AH$13,0)))</f>
        <v/>
      </c>
      <c r="C9" s="1" t="str">
        <f>IF(MONTH(C$4)&lt;&gt;MONTH(DATE($G$2,$H$2,1)),"",INDEX(조편성!$D20:$AH20,MATCH(C$4,조편성!$D$13:$AH$13,0)))</f>
        <v/>
      </c>
      <c r="D9" s="1" t="str">
        <f>IF(MONTH(D$4)&lt;&gt;MONTH(DATE($G$2,$H$2,1)),"",INDEX(조편성!$D20:$AH20,MATCH(D$4,조편성!$D$13:$AH$13,0)))</f>
        <v/>
      </c>
      <c r="E9" s="1" t="str">
        <f>IF(MONTH(E$4)&lt;&gt;MONTH(DATE($G$2,$H$2,1)),"",INDEX(조편성!$D20:$AH20,MATCH(E$4,조편성!$D$13:$AH$13,0)))</f>
        <v/>
      </c>
      <c r="F9" s="1" t="str">
        <f>IF(MONTH(F$4)&lt;&gt;MONTH(DATE($G$2,$H$2,1)),"",INDEX(조편성!$D20:$AH20,MATCH(F$4,조편성!$D$13:$AH$13,0)))</f>
        <v/>
      </c>
      <c r="G9" s="1" t="str">
        <f>IF(MONTH(G$4)&lt;&gt;MONTH(DATE($G$2,$H$2,1)),"",INDEX(조편성!$D20:$AH20,MATCH(G$4,조편성!$D$13:$AH$13,0)))</f>
        <v/>
      </c>
      <c r="H9" s="1" t="str">
        <f>IF(MONTH(H$4)&lt;&gt;MONTH(DATE($G$2,$H$2,1)),"",INDEX(조편성!$D20:$AH20,MATCH(H$4,조편성!$D$13:$AH$13,0)))</f>
        <v>한영희</v>
      </c>
    </row>
    <row r="10" spans="1:9" s="7" customFormat="1" ht="18.45" customHeight="1" x14ac:dyDescent="0.25">
      <c r="A10" s="1" t="s">
        <v>3</v>
      </c>
      <c r="B10" s="12">
        <f>B4+7</f>
        <v>45718</v>
      </c>
      <c r="C10" s="12">
        <f t="shared" ref="C10:H10" si="1">B10+1</f>
        <v>45719</v>
      </c>
      <c r="D10" s="12">
        <f t="shared" si="1"/>
        <v>45720</v>
      </c>
      <c r="E10" s="12">
        <f t="shared" si="1"/>
        <v>45721</v>
      </c>
      <c r="F10" s="12">
        <f t="shared" si="1"/>
        <v>45722</v>
      </c>
      <c r="G10" s="12">
        <f t="shared" si="1"/>
        <v>45723</v>
      </c>
      <c r="H10" s="12">
        <f t="shared" si="1"/>
        <v>45724</v>
      </c>
    </row>
    <row r="11" spans="1:9" s="7" customFormat="1" ht="18.45" customHeight="1" x14ac:dyDescent="0.25">
      <c r="A11" s="1" t="s">
        <v>29</v>
      </c>
      <c r="B11" s="1" t="str">
        <f>IF(MONTH(B$10)&lt;&gt;MONTH(DATE($G$2,$H$2,1)),"",INDEX(조편성!$D14:$AH14,MATCH(B$10,조편성!$D$13:$AH$13,0)))</f>
        <v>장영대</v>
      </c>
      <c r="C11" s="1" t="str">
        <f>IF(MONTH(C$10)&lt;&gt;MONTH(DATE($G$2,$H$2,1)),"",INDEX(조편성!$D14:$AH14,MATCH(C$10,조편성!$D$13:$AH$13,0)))</f>
        <v>장영대</v>
      </c>
      <c r="D11" s="1" t="str">
        <f>IF(MONTH(D$10)&lt;&gt;MONTH(DATE($G$2,$H$2,1)),"",INDEX(조편성!$D14:$AH14,MATCH(D$10,조편성!$D$13:$AH$13,0)))</f>
        <v>장영대</v>
      </c>
      <c r="E11" s="1" t="str">
        <f>IF(MONTH(E$10)&lt;&gt;MONTH(DATE($G$2,$H$2,1)),"",INDEX(조편성!$D14:$AH14,MATCH(E$10,조편성!$D$13:$AH$13,0)))</f>
        <v>김대화</v>
      </c>
      <c r="F11" s="1" t="str">
        <f>IF(MONTH(F$10)&lt;&gt;MONTH(DATE($G$2,$H$2,1)),"",INDEX(조편성!$D14:$AH14,MATCH(F$10,조편성!$D$13:$AH$13,0)))</f>
        <v>김대화</v>
      </c>
      <c r="G11" s="1" t="str">
        <f>IF(MONTH(G$10)&lt;&gt;MONTH(DATE($G$2,$H$2,1)),"",INDEX(조편성!$D14:$AH14,MATCH(G$10,조편성!$D$13:$AH$13,0)))</f>
        <v>김대화</v>
      </c>
      <c r="H11" s="1" t="str">
        <f>IF(MONTH(H$10)&lt;&gt;MONTH(DATE($G$2,$H$2,1)),"",INDEX(조편성!$D14:$AH14,MATCH(H$10,조편성!$D$13:$AH$13,0)))</f>
        <v>장영대김대화</v>
      </c>
    </row>
    <row r="12" spans="1:9" s="7" customFormat="1" ht="18.45" customHeight="1" x14ac:dyDescent="0.25">
      <c r="A12" s="1"/>
      <c r="B12" s="1" t="str">
        <f>IF(MONTH(B$10)&lt;&gt;MONTH(DATE($G$2,$H$2,1)),"",INDEX(조편성!$D15:$AH15,MATCH(B$10,조편성!$D$13:$AH$13,0)))</f>
        <v/>
      </c>
      <c r="C12" s="1" t="str">
        <f>IF(MONTH(C$10)&lt;&gt;MONTH(DATE($G$2,$H$2,1)),"",INDEX(조편성!$D15:$AH15,MATCH(C$10,조편성!$D$13:$AH$13,0)))</f>
        <v>안성용</v>
      </c>
      <c r="D12" s="1" t="str">
        <f>IF(MONTH(D$10)&lt;&gt;MONTH(DATE($G$2,$H$2,1)),"",INDEX(조편성!$D15:$AH15,MATCH(D$10,조편성!$D$13:$AH$13,0)))</f>
        <v>안성용</v>
      </c>
      <c r="E12" s="1" t="str">
        <f>IF(MONTH(E$10)&lt;&gt;MONTH(DATE($G$2,$H$2,1)),"",INDEX(조편성!$D15:$AH15,MATCH(E$10,조편성!$D$13:$AH$13,0)))</f>
        <v>안성용</v>
      </c>
      <c r="F12" s="1" t="str">
        <f>IF(MONTH(F$10)&lt;&gt;MONTH(DATE($G$2,$H$2,1)),"",INDEX(조편성!$D15:$AH15,MATCH(F$10,조편성!$D$13:$AH$13,0)))</f>
        <v>안성용</v>
      </c>
      <c r="G12" s="1" t="str">
        <f>IF(MONTH(G$10)&lt;&gt;MONTH(DATE($G$2,$H$2,1)),"",INDEX(조편성!$D15:$AH15,MATCH(G$10,조편성!$D$13:$AH$13,0)))</f>
        <v/>
      </c>
      <c r="H12" s="1" t="str">
        <f>IF(MONTH(H$10)&lt;&gt;MONTH(DATE($G$2,$H$2,1)),"",INDEX(조편성!$D15:$AH15,MATCH(H$10,조편성!$D$13:$AH$13,0)))</f>
        <v/>
      </c>
    </row>
    <row r="13" spans="1:9" s="7" customFormat="1" ht="18.45" customHeight="1" x14ac:dyDescent="0.25">
      <c r="A13" s="1" t="s">
        <v>27</v>
      </c>
      <c r="B13" s="1" t="str">
        <f>IF(MONTH(B$10)&lt;&gt;MONTH(DATE($G$2,$H$2,1)),"",INDEX(조편성!$D16:$AH16,MATCH(B$10,조편성!$D$13:$AH$13,0)))</f>
        <v>김제원</v>
      </c>
      <c r="C13" s="1" t="str">
        <f>IF(MONTH(C$10)&lt;&gt;MONTH(DATE($G$2,$H$2,1)),"",INDEX(조편성!$D16:$AH16,MATCH(C$10,조편성!$D$13:$AH$13,0)))</f>
        <v>김제원</v>
      </c>
      <c r="D13" s="1" t="str">
        <f>IF(MONTH(D$10)&lt;&gt;MONTH(DATE($G$2,$H$2,1)),"",INDEX(조편성!$D16:$AH16,MATCH(D$10,조편성!$D$13:$AH$13,0)))</f>
        <v>오광웅김제원</v>
      </c>
      <c r="E13" s="1" t="str">
        <f>IF(MONTH(E$10)&lt;&gt;MONTH(DATE($G$2,$H$2,1)),"",INDEX(조편성!$D16:$AH16,MATCH(E$10,조편성!$D$13:$AH$13,0)))</f>
        <v>오광웅김제원</v>
      </c>
      <c r="F13" s="1" t="str">
        <f>IF(MONTH(F$10)&lt;&gt;MONTH(DATE($G$2,$H$2,1)),"",INDEX(조편성!$D16:$AH16,MATCH(F$10,조편성!$D$13:$AH$13,0)))</f>
        <v>오광웅</v>
      </c>
      <c r="G13" s="1" t="str">
        <f>IF(MONTH(G$10)&lt;&gt;MONTH(DATE($G$2,$H$2,1)),"",INDEX(조편성!$D16:$AH16,MATCH(G$10,조편성!$D$13:$AH$13,0)))</f>
        <v>오광웅</v>
      </c>
      <c r="H13" s="1" t="str">
        <f>IF(MONTH(H$10)&lt;&gt;MONTH(DATE($G$2,$H$2,1)),"",INDEX(조편성!$D16:$AH16,MATCH(H$10,조편성!$D$13:$AH$13,0)))</f>
        <v/>
      </c>
    </row>
    <row r="14" spans="1:9" s="4" customFormat="1" ht="18.45" customHeight="1" x14ac:dyDescent="0.25">
      <c r="A14" s="1"/>
      <c r="B14" s="1" t="str">
        <f>IF(MONTH(B$10)&lt;&gt;MONTH(DATE($G$2,$H$2,1)),"",INDEX(조편성!$D17:$AH17,MATCH(B$10,조편성!$D$13:$AH$13,0)))</f>
        <v>위선옥</v>
      </c>
      <c r="C14" s="1" t="str">
        <f>IF(MONTH(C$10)&lt;&gt;MONTH(DATE($G$2,$H$2,1)),"",INDEX(조편성!$D17:$AH17,MATCH(C$10,조편성!$D$13:$AH$13,0)))</f>
        <v>위선옥</v>
      </c>
      <c r="D14" s="1" t="str">
        <f>IF(MONTH(D$10)&lt;&gt;MONTH(DATE($G$2,$H$2,1)),"",INDEX(조편성!$D17:$AH17,MATCH(D$10,조편성!$D$13:$AH$13,0)))</f>
        <v/>
      </c>
      <c r="E14" s="1" t="str">
        <f>IF(MONTH(E$10)&lt;&gt;MONTH(DATE($G$2,$H$2,1)),"",INDEX(조편성!$D17:$AH17,MATCH(E$10,조편성!$D$13:$AH$13,0)))</f>
        <v/>
      </c>
      <c r="F14" s="1" t="str">
        <f>IF(MONTH(F$10)&lt;&gt;MONTH(DATE($G$2,$H$2,1)),"",INDEX(조편성!$D17:$AH17,MATCH(F$10,조편성!$D$13:$AH$13,0)))</f>
        <v/>
      </c>
      <c r="G14" s="1" t="str">
        <f>IF(MONTH(G$10)&lt;&gt;MONTH(DATE($G$2,$H$2,1)),"",INDEX(조편성!$D17:$AH17,MATCH(G$10,조편성!$D$13:$AH$13,0)))</f>
        <v>위선옥</v>
      </c>
      <c r="H14" s="1" t="str">
        <f>IF(MONTH(H$10)&lt;&gt;MONTH(DATE($G$2,$H$2,1)),"",INDEX(조편성!$D17:$AH17,MATCH(H$10,조편성!$D$13:$AH$13,0)))</f>
        <v>위선옥</v>
      </c>
      <c r="I14" s="7"/>
    </row>
    <row r="15" spans="1:9" s="7" customFormat="1" ht="18.45" customHeight="1" x14ac:dyDescent="0.25">
      <c r="A15" s="1" t="s">
        <v>25</v>
      </c>
      <c r="B15" s="1" t="str">
        <f>IF(MONTH(B$10)&lt;&gt;MONTH(DATE($G$2,$H$2,1)),"",INDEX(조편성!$D20:$AH20,MATCH(B$10,조편성!$D$13:$AH$13,0)))</f>
        <v>한영희</v>
      </c>
      <c r="C15" s="1" t="str">
        <f>IF(MONTH(C$10)&lt;&gt;MONTH(DATE($G$2,$H$2,1)),"",INDEX(조편성!$D20:$AH20,MATCH(C$10,조편성!$D$13:$AH$13,0)))</f>
        <v>신대진</v>
      </c>
      <c r="D15" s="1" t="str">
        <f>IF(MONTH(D$10)&lt;&gt;MONTH(DATE($G$2,$H$2,1)),"",INDEX(조편성!$D20:$AH20,MATCH(D$10,조편성!$D$13:$AH$13,0)))</f>
        <v>신대진</v>
      </c>
      <c r="E15" s="1" t="str">
        <f>IF(MONTH(E$10)&lt;&gt;MONTH(DATE($G$2,$H$2,1)),"",INDEX(조편성!$D20:$AH20,MATCH(E$10,조편성!$D$13:$AH$13,0)))</f>
        <v>한영희</v>
      </c>
      <c r="F15" s="1" t="str">
        <f>IF(MONTH(F$10)&lt;&gt;MONTH(DATE($G$2,$H$2,1)),"",INDEX(조편성!$D20:$AH20,MATCH(F$10,조편성!$D$13:$AH$13,0)))</f>
        <v>한영희</v>
      </c>
      <c r="G15" s="1" t="str">
        <f>IF(MONTH(G$10)&lt;&gt;MONTH(DATE($G$2,$H$2,1)),"",INDEX(조편성!$D20:$AH20,MATCH(G$10,조편성!$D$13:$AH$13,0)))</f>
        <v>신대진</v>
      </c>
      <c r="H15" s="1" t="str">
        <f>IF(MONTH(H$10)&lt;&gt;MONTH(DATE($G$2,$H$2,1)),"",INDEX(조편성!$D20:$AH20,MATCH(H$10,조편성!$D$13:$AH$13,0)))</f>
        <v>오광웅</v>
      </c>
    </row>
    <row r="16" spans="1:9" s="7" customFormat="1" ht="18.45" customHeight="1" x14ac:dyDescent="0.25">
      <c r="A16" s="1" t="s">
        <v>3</v>
      </c>
      <c r="B16" s="12">
        <f>B10+7</f>
        <v>45725</v>
      </c>
      <c r="C16" s="12">
        <f t="shared" ref="C16:H16" si="2">B16+1</f>
        <v>45726</v>
      </c>
      <c r="D16" s="12">
        <f t="shared" si="2"/>
        <v>45727</v>
      </c>
      <c r="E16" s="12">
        <f t="shared" si="2"/>
        <v>45728</v>
      </c>
      <c r="F16" s="12">
        <f t="shared" si="2"/>
        <v>45729</v>
      </c>
      <c r="G16" s="12">
        <f t="shared" si="2"/>
        <v>45730</v>
      </c>
      <c r="H16" s="12">
        <f t="shared" si="2"/>
        <v>45731</v>
      </c>
    </row>
    <row r="17" spans="1:43" s="7" customFormat="1" ht="18.45" customHeight="1" x14ac:dyDescent="0.25">
      <c r="A17" s="1" t="s">
        <v>29</v>
      </c>
      <c r="B17" s="1" t="str">
        <f>IF(MONTH(B$16)&lt;&gt;MONTH(DATE($G$2,$H$2,1)),"",INDEX(조편성!$D14:$AH14,MATCH(B$16,조편성!$D$13:$AH$13,0)))</f>
        <v>장영대</v>
      </c>
      <c r="C17" s="1" t="str">
        <f>IF(MONTH(C$16)&lt;&gt;MONTH(DATE($G$2,$H$2,1)),"",INDEX(조편성!$D14:$AH14,MATCH(C$16,조편성!$D$13:$AH$13,0)))</f>
        <v>장영대</v>
      </c>
      <c r="D17" s="1" t="str">
        <f>IF(MONTH(D$16)&lt;&gt;MONTH(DATE($G$2,$H$2,1)),"",INDEX(조편성!$D14:$AH14,MATCH(D$16,조편성!$D$13:$AH$13,0)))</f>
        <v>장영대</v>
      </c>
      <c r="E17" s="1" t="str">
        <f>IF(MONTH(E$16)&lt;&gt;MONTH(DATE($G$2,$H$2,1)),"",INDEX(조편성!$D14:$AH14,MATCH(E$16,조편성!$D$13:$AH$13,0)))</f>
        <v>김대화</v>
      </c>
      <c r="F17" s="1" t="str">
        <f>IF(MONTH(F$16)&lt;&gt;MONTH(DATE($G$2,$H$2,1)),"",INDEX(조편성!$D14:$AH14,MATCH(F$16,조편성!$D$13:$AH$13,0)))</f>
        <v>김대화</v>
      </c>
      <c r="G17" s="1" t="str">
        <f>IF(MONTH(G$16)&lt;&gt;MONTH(DATE($G$2,$H$2,1)),"",INDEX(조편성!$D14:$AH14,MATCH(G$16,조편성!$D$13:$AH$13,0)))</f>
        <v>김대화</v>
      </c>
      <c r="H17" s="1" t="str">
        <f>IF(MONTH(H$16)&lt;&gt;MONTH(DATE($G$2,$H$2,1)),"",INDEX(조편성!$D14:$AH14,MATCH(H$16,조편성!$D$13:$AH$13,0)))</f>
        <v>장영대김대화</v>
      </c>
    </row>
    <row r="18" spans="1:43" s="4" customFormat="1" ht="18.45" customHeight="1" x14ac:dyDescent="0.25">
      <c r="A18" s="1"/>
      <c r="B18" s="1" t="str">
        <f>IF(MONTH(B$16)&lt;&gt;MONTH(DATE($G$2,$H$2,1)),"",INDEX(조편성!$D15:$AH15,MATCH(B$16,조편성!$D$13:$AH$13,0)))</f>
        <v/>
      </c>
      <c r="C18" s="1" t="str">
        <f>IF(MONTH(C$16)&lt;&gt;MONTH(DATE($G$2,$H$2,1)),"",INDEX(조편성!$D15:$AH15,MATCH(C$16,조편성!$D$13:$AH$13,0)))</f>
        <v>안성용</v>
      </c>
      <c r="D18" s="1" t="str">
        <f>IF(MONTH(D$16)&lt;&gt;MONTH(DATE($G$2,$H$2,1)),"",INDEX(조편성!$D15:$AH15,MATCH(D$16,조편성!$D$13:$AH$13,0)))</f>
        <v>안성용</v>
      </c>
      <c r="E18" s="1" t="str">
        <f>IF(MONTH(E$16)&lt;&gt;MONTH(DATE($G$2,$H$2,1)),"",INDEX(조편성!$D15:$AH15,MATCH(E$16,조편성!$D$13:$AH$13,0)))</f>
        <v>안성용</v>
      </c>
      <c r="F18" s="1" t="str">
        <f>IF(MONTH(F$16)&lt;&gt;MONTH(DATE($G$2,$H$2,1)),"",INDEX(조편성!$D15:$AH15,MATCH(F$16,조편성!$D$13:$AH$13,0)))</f>
        <v>안성용</v>
      </c>
      <c r="G18" s="1" t="str">
        <f>IF(MONTH(G$16)&lt;&gt;MONTH(DATE($G$2,$H$2,1)),"",INDEX(조편성!$D15:$AH15,MATCH(G$16,조편성!$D$13:$AH$13,0)))</f>
        <v>안성용</v>
      </c>
      <c r="H18" s="1" t="str">
        <f>IF(MONTH(H$16)&lt;&gt;MONTH(DATE($G$2,$H$2,1)),"",INDEX(조편성!$D15:$AH15,MATCH(H$16,조편성!$D$13:$AH$13,0)))</f>
        <v/>
      </c>
      <c r="I18" s="7"/>
    </row>
    <row r="19" spans="1:43" s="7" customFormat="1" ht="18.45" customHeight="1" x14ac:dyDescent="0.25">
      <c r="A19" s="1" t="s">
        <v>27</v>
      </c>
      <c r="B19" s="1" t="str">
        <f>IF(MONTH(B$16)&lt;&gt;MONTH(DATE($G$2,$H$2,1)),"",INDEX(조편성!$D16:$AH16,MATCH(B$16,조편성!$D$13:$AH$13,0)))</f>
        <v>김제원</v>
      </c>
      <c r="C19" s="1" t="str">
        <f>IF(MONTH(C$16)&lt;&gt;MONTH(DATE($G$2,$H$2,1)),"",INDEX(조편성!$D16:$AH16,MATCH(C$16,조편성!$D$13:$AH$13,0)))</f>
        <v>김제원</v>
      </c>
      <c r="D19" s="1" t="str">
        <f>IF(MONTH(D$16)&lt;&gt;MONTH(DATE($G$2,$H$2,1)),"",INDEX(조편성!$D16:$AH16,MATCH(D$16,조편성!$D$13:$AH$13,0)))</f>
        <v>오광웅김제원</v>
      </c>
      <c r="E19" s="1" t="str">
        <f>IF(MONTH(E$16)&lt;&gt;MONTH(DATE($G$2,$H$2,1)),"",INDEX(조편성!$D16:$AH16,MATCH(E$16,조편성!$D$13:$AH$13,0)))</f>
        <v>오광웅김제원</v>
      </c>
      <c r="F19" s="1" t="str">
        <f>IF(MONTH(F$16)&lt;&gt;MONTH(DATE($G$2,$H$2,1)),"",INDEX(조편성!$D16:$AH16,MATCH(F$16,조편성!$D$13:$AH$13,0)))</f>
        <v>오광웅</v>
      </c>
      <c r="G19" s="1" t="str">
        <f>IF(MONTH(G$16)&lt;&gt;MONTH(DATE($G$2,$H$2,1)),"",INDEX(조편성!$D16:$AH16,MATCH(G$16,조편성!$D$13:$AH$13,0)))</f>
        <v>오광웅</v>
      </c>
      <c r="H19" s="1" t="str">
        <f>IF(MONTH(H$16)&lt;&gt;MONTH(DATE($G$2,$H$2,1)),"",INDEX(조편성!$D16:$AH16,MATCH(H$16,조편성!$D$13:$AH$13,0)))</f>
        <v/>
      </c>
    </row>
    <row r="20" spans="1:43" s="4" customFormat="1" ht="18.45" customHeight="1" x14ac:dyDescent="0.25">
      <c r="A20" s="1"/>
      <c r="B20" s="1" t="str">
        <f>IF(MONTH(B$16)&lt;&gt;MONTH(DATE($G$2,$H$2,1)),"",INDEX(조편성!$D17:$AH17,MATCH(B$16,조편성!$D$13:$AH$13,0)))</f>
        <v>위선옥</v>
      </c>
      <c r="C20" s="1" t="str">
        <f>IF(MONTH(C$16)&lt;&gt;MONTH(DATE($G$2,$H$2,1)),"",INDEX(조편성!$D17:$AH17,MATCH(C$16,조편성!$D$13:$AH$13,0)))</f>
        <v/>
      </c>
      <c r="D20" s="1" t="str">
        <f>IF(MONTH(D$16)&lt;&gt;MONTH(DATE($G$2,$H$2,1)),"",INDEX(조편성!$D17:$AH17,MATCH(D$16,조편성!$D$13:$AH$13,0)))</f>
        <v/>
      </c>
      <c r="E20" s="1" t="str">
        <f>IF(MONTH(E$16)&lt;&gt;MONTH(DATE($G$2,$H$2,1)),"",INDEX(조편성!$D17:$AH17,MATCH(E$16,조편성!$D$13:$AH$13,0)))</f>
        <v/>
      </c>
      <c r="F20" s="1" t="str">
        <f>IF(MONTH(F$16)&lt;&gt;MONTH(DATE($G$2,$H$2,1)),"",INDEX(조편성!$D17:$AH17,MATCH(F$16,조편성!$D$13:$AH$13,0)))</f>
        <v/>
      </c>
      <c r="G20" s="1" t="str">
        <f>IF(MONTH(G$16)&lt;&gt;MONTH(DATE($G$2,$H$2,1)),"",INDEX(조편성!$D17:$AH17,MATCH(G$16,조편성!$D$13:$AH$13,0)))</f>
        <v/>
      </c>
      <c r="H20" s="1" t="str">
        <f>IF(MONTH(H$16)&lt;&gt;MONTH(DATE($G$2,$H$2,1)),"",INDEX(조편성!$D17:$AH17,MATCH(H$16,조편성!$D$13:$AH$13,0)))</f>
        <v/>
      </c>
      <c r="I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s="7" customFormat="1" ht="18.45" customHeight="1" x14ac:dyDescent="0.25">
      <c r="A21" s="1" t="s">
        <v>25</v>
      </c>
      <c r="B21" s="1" t="str">
        <f>IF(MONTH(B$16)&lt;&gt;MONTH(DATE($G$2,$H$2,1)),"",INDEX(조편성!$D20:$AH20,MATCH(B$16,조편성!$D$13:$AH$13,0)))</f>
        <v>신대진</v>
      </c>
      <c r="C21" s="1" t="str">
        <f>IF(MONTH(C$16)&lt;&gt;MONTH(DATE($G$2,$H$2,1)),"",INDEX(조편성!$D20:$AH20,MATCH(C$16,조편성!$D$13:$AH$13,0)))</f>
        <v>한영희</v>
      </c>
      <c r="D21" s="1" t="str">
        <f>IF(MONTH(D$16)&lt;&gt;MONTH(DATE($G$2,$H$2,1)),"",INDEX(조편성!$D20:$AH20,MATCH(D$16,조편성!$D$13:$AH$13,0)))</f>
        <v>한영희</v>
      </c>
      <c r="E21" s="1" t="str">
        <f>IF(MONTH(E$16)&lt;&gt;MONTH(DATE($G$2,$H$2,1)),"",INDEX(조편성!$D20:$AH20,MATCH(E$16,조편성!$D$13:$AH$13,0)))</f>
        <v>신대진</v>
      </c>
      <c r="F21" s="1" t="str">
        <f>IF(MONTH(F$16)&lt;&gt;MONTH(DATE($G$2,$H$2,1)),"",INDEX(조편성!$D20:$AH20,MATCH(F$16,조편성!$D$13:$AH$13,0)))</f>
        <v>김제원</v>
      </c>
      <c r="G21" s="1" t="str">
        <f>IF(MONTH(G$16)&lt;&gt;MONTH(DATE($G$2,$H$2,1)),"",INDEX(조편성!$D20:$AH20,MATCH(G$16,조편성!$D$13:$AH$13,0)))</f>
        <v>신대진</v>
      </c>
      <c r="H21" s="1" t="str">
        <f>IF(MONTH(H$16)&lt;&gt;MONTH(DATE($G$2,$H$2,1)),"",INDEX(조편성!$D20:$AH20,MATCH(H$16,조편성!$D$13:$AH$13,0)))</f>
        <v>오광웅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</row>
    <row r="22" spans="1:43" s="7" customFormat="1" ht="18.45" customHeight="1" x14ac:dyDescent="0.25">
      <c r="A22" s="1" t="s">
        <v>3</v>
      </c>
      <c r="B22" s="12">
        <f>B16+7</f>
        <v>45732</v>
      </c>
      <c r="C22" s="12">
        <f t="shared" ref="C22:H22" si="3">B22+1</f>
        <v>45733</v>
      </c>
      <c r="D22" s="12">
        <f t="shared" si="3"/>
        <v>45734</v>
      </c>
      <c r="E22" s="12">
        <f t="shared" si="3"/>
        <v>45735</v>
      </c>
      <c r="F22" s="12">
        <f t="shared" si="3"/>
        <v>45736</v>
      </c>
      <c r="G22" s="12">
        <f t="shared" si="3"/>
        <v>45737</v>
      </c>
      <c r="H22" s="12">
        <f t="shared" si="3"/>
        <v>45738</v>
      </c>
      <c r="K22" s="35"/>
    </row>
    <row r="23" spans="1:43" s="7" customFormat="1" ht="18.45" customHeight="1" x14ac:dyDescent="0.25">
      <c r="A23" s="1" t="s">
        <v>29</v>
      </c>
      <c r="B23" s="1" t="str">
        <f>IF(MONTH(B$22)&lt;&gt;MONTH(DATE($G$2,$H$2,1)),"",INDEX(조편성!$D14:$AH14,MATCH(B$22,조편성!$D$13:$AH$13,0)))</f>
        <v>장영대김대화</v>
      </c>
      <c r="C23" s="1" t="str">
        <f>IF(MONTH(C$22)&lt;&gt;MONTH(DATE($G$2,$H$2,1)),"",INDEX(조편성!$D14:$AH14,MATCH(C$22,조편성!$D$13:$AH$13,0)))</f>
        <v>장영대</v>
      </c>
      <c r="D23" s="1" t="str">
        <f>IF(MONTH(D$22)&lt;&gt;MONTH(DATE($G$2,$H$2,1)),"",INDEX(조편성!$D14:$AH14,MATCH(D$22,조편성!$D$13:$AH$13,0)))</f>
        <v>장영대</v>
      </c>
      <c r="E23" s="1" t="str">
        <f>IF(MONTH(E$22)&lt;&gt;MONTH(DATE($G$2,$H$2,1)),"",INDEX(조편성!$D14:$AH14,MATCH(E$22,조편성!$D$13:$AH$13,0)))</f>
        <v>김대화</v>
      </c>
      <c r="F23" s="1" t="str">
        <f>IF(MONTH(F$22)&lt;&gt;MONTH(DATE($G$2,$H$2,1)),"",INDEX(조편성!$D14:$AH14,MATCH(F$22,조편성!$D$13:$AH$13,0)))</f>
        <v>김대화</v>
      </c>
      <c r="G23" s="1" t="str">
        <f>IF(MONTH(G$22)&lt;&gt;MONTH(DATE($G$2,$H$2,1)),"",INDEX(조편성!$D14:$AH14,MATCH(G$22,조편성!$D$13:$AH$13,0)))</f>
        <v>김대화</v>
      </c>
      <c r="H23" s="1" t="str">
        <f>IF(MONTH(H$22)&lt;&gt;MONTH(DATE($G$2,$H$2,1)),"",INDEX(조편성!$D14:$AH14,MATCH(H$22,조편성!$D$13:$AH$13,0)))</f>
        <v>장영대김대화</v>
      </c>
      <c r="K23" s="35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</row>
    <row r="24" spans="1:43" s="4" customFormat="1" ht="18.45" customHeight="1" x14ac:dyDescent="0.25">
      <c r="A24" s="1"/>
      <c r="B24" s="1" t="str">
        <f>IF(MONTH(B$22)&lt;&gt;MONTH(DATE($G$2,$H$2,1)),"",INDEX(조편성!$D15:$AH$15,MATCH(B$22,조편성!$D$13:$AH$13,0)))</f>
        <v/>
      </c>
      <c r="C24" s="1" t="str">
        <f>IF(MONTH(C$22)&lt;&gt;MONTH(DATE($G$2,$H$2,1)),"",INDEX(조편성!$D15:$AH$15,MATCH(C$22,조편성!$D$13:$AH$13,0)))</f>
        <v>안성용</v>
      </c>
      <c r="D24" s="1" t="str">
        <f>IF(MONTH(D$22)&lt;&gt;MONTH(DATE($G$2,$H$2,1)),"",INDEX(조편성!$D15:$AH$15,MATCH(D$22,조편성!$D$13:$AH$13,0)))</f>
        <v>안성용</v>
      </c>
      <c r="E24" s="1" t="str">
        <f>IF(MONTH(E$22)&lt;&gt;MONTH(DATE($G$2,$H$2,1)),"",INDEX(조편성!$D15:$AH$15,MATCH(E$22,조편성!$D$13:$AH$13,0)))</f>
        <v>안성용</v>
      </c>
      <c r="F24" s="1" t="str">
        <f>IF(MONTH(F$22)&lt;&gt;MONTH(DATE($G$2,$H$2,1)),"",INDEX(조편성!$D15:$AH$15,MATCH(F$22,조편성!$D$13:$AH$13,0)))</f>
        <v>안성용</v>
      </c>
      <c r="G24" s="1" t="str">
        <f>IF(MONTH(G$22)&lt;&gt;MONTH(DATE($G$2,$H$2,1)),"",INDEX(조편성!$D15:$AH$15,MATCH(G$22,조편성!$D$13:$AH$13,0)))</f>
        <v>안성용</v>
      </c>
      <c r="H24" s="1" t="str">
        <f>IF(MONTH(H$22)&lt;&gt;MONTH(DATE($G$2,$H$2,1)),"",INDEX(조편성!$D15:$AH$15,MATCH(H$22,조편성!$D$13:$AH$13,0)))</f>
        <v/>
      </c>
      <c r="I24" s="7"/>
      <c r="K24" s="36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s="7" customFormat="1" ht="18.45" customHeight="1" x14ac:dyDescent="0.25">
      <c r="A25" s="1" t="s">
        <v>27</v>
      </c>
      <c r="B25" s="1" t="str">
        <f>IF(MONTH(B$22)&lt;&gt;MONTH(DATE($G$2,$H$2,1)),"",INDEX(조편성!$D16:$AH16,MATCH(B$22,조편성!$D$13:$AH$13,0)))</f>
        <v/>
      </c>
      <c r="C25" s="1" t="str">
        <f>IF(MONTH(C$22)&lt;&gt;MONTH(DATE($G$2,$H$2,1)),"",INDEX(조편성!$D16:$AH16,MATCH(C$22,조편성!$D$13:$AH$13,0)))</f>
        <v>오광웅김제원</v>
      </c>
      <c r="D25" s="1" t="str">
        <f>IF(MONTH(D$22)&lt;&gt;MONTH(DATE($G$2,$H$2,1)),"",INDEX(조편성!$D16:$AH16,MATCH(D$22,조편성!$D$13:$AH$13,0)))</f>
        <v>김제원</v>
      </c>
      <c r="E25" s="1" t="str">
        <f>IF(MONTH(E$22)&lt;&gt;MONTH(DATE($G$2,$H$2,1)),"",INDEX(조편성!$D16:$AH16,MATCH(E$22,조편성!$D$13:$AH$13,0)))</f>
        <v>김제원</v>
      </c>
      <c r="F25" s="1" t="str">
        <f>IF(MONTH(F$22)&lt;&gt;MONTH(DATE($G$2,$H$2,1)),"",INDEX(조편성!$D16:$AH16,MATCH(F$22,조편성!$D$13:$AH$13,0)))</f>
        <v>오광웅</v>
      </c>
      <c r="G25" s="1" t="str">
        <f>IF(MONTH(G$22)&lt;&gt;MONTH(DATE($G$2,$H$2,1)),"",INDEX(조편성!$D16:$AH16,MATCH(G$22,조편성!$D$13:$AH$13,0)))</f>
        <v>오광웅</v>
      </c>
      <c r="H25" s="1" t="str">
        <f>IF(MONTH(H$22)&lt;&gt;MONTH(DATE($G$2,$H$2,1)),"",INDEX(조편성!$D16:$AH16,MATCH(H$22,조편성!$D$13:$AH$13,0)))</f>
        <v/>
      </c>
      <c r="K25" s="36"/>
    </row>
    <row r="26" spans="1:43" s="4" customFormat="1" ht="18.45" customHeight="1" x14ac:dyDescent="0.25">
      <c r="A26" s="1"/>
      <c r="B26" s="1" t="str">
        <f>IF(MONTH($B$22)&lt;&gt;MONTH(DATE($G$2,$H$2,1)),"",INDEX(조편성!$D17:$AH17,MATCH(B$22,조편성!$D$13:$AH$13,0)))</f>
        <v/>
      </c>
      <c r="C26" s="1" t="str">
        <f>IF(MONTH($B$22)&lt;&gt;MONTH(DATE($G$2,$H$2,1)),"",INDEX(조편성!$D17:$AH17,MATCH(C$22,조편성!$D$13:$AH$13,0)))</f>
        <v/>
      </c>
      <c r="D26" s="1" t="str">
        <f>IF(MONTH($B$22)&lt;&gt;MONTH(DATE($G$2,$H$2,1)),"",INDEX(조편성!$D17:$AH17,MATCH(D$22,조편성!$D$13:$AH$13,0)))</f>
        <v>오광웅(4)</v>
      </c>
      <c r="E26" s="1" t="str">
        <f>IF(MONTH($B$22)&lt;&gt;MONTH(DATE($G$2,$H$2,1)),"",INDEX(조편성!$D17:$AH17,MATCH(E$22,조편성!$D$13:$AH$13,0)))</f>
        <v/>
      </c>
      <c r="F26" s="1" t="str">
        <f>IF(MONTH($B$22)&lt;&gt;MONTH(DATE($G$2,$H$2,1)),"",INDEX(조편성!$D17:$AH17,MATCH(F$22,조편성!$D$13:$AH$13,0)))</f>
        <v/>
      </c>
      <c r="G26" s="1" t="str">
        <f>IF(MONTH($B$22)&lt;&gt;MONTH(DATE($G$2,$H$2,1)),"",INDEX(조편성!$D17:$AH17,MATCH(G$22,조편성!$D$13:$AH$13,0)))</f>
        <v/>
      </c>
      <c r="H26" s="1" t="str">
        <f>IF(MONTH($B$22)&lt;&gt;MONTH(DATE($G$2,$H$2,1)),"",INDEX(조편성!$D17:$AH17,MATCH(H$22,조편성!$D$13:$AH$13,0)))</f>
        <v/>
      </c>
      <c r="I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s="7" customFormat="1" ht="18.45" customHeight="1" x14ac:dyDescent="0.25">
      <c r="A27" s="1" t="s">
        <v>25</v>
      </c>
      <c r="B27" s="1" t="str">
        <f>IF(MONTH(B$22)&lt;&gt;MONTH(DATE($G$2,$H$2,1)),"",INDEX(조편성!$D20:$AH20,MATCH(B$22,조편성!$D$13:$AH$13,0)))</f>
        <v>한영희신대진(4)</v>
      </c>
      <c r="C27" s="1" t="str">
        <f>IF(MONTH(C$22)&lt;&gt;MONTH(DATE($G$2,$H$2,1)),"",INDEX(조편성!$D20:$AH20,MATCH(C$22,조편성!$D$13:$AH$13,0)))</f>
        <v>한영희</v>
      </c>
      <c r="D27" s="1" t="str">
        <f>IF(MONTH(D$22)&lt;&gt;MONTH(DATE($G$2,$H$2,1)),"",INDEX(조편성!$D20:$AH20,MATCH(D$22,조편성!$D$13:$AH$13,0)))</f>
        <v>신대진한영희(4)</v>
      </c>
      <c r="E27" s="1" t="str">
        <f>IF(MONTH(E$22)&lt;&gt;MONTH(DATE($G$2,$H$2,1)),"",INDEX(조편성!$D20:$AH20,MATCH(E$22,조편성!$D$13:$AH$13,0)))</f>
        <v>신대진</v>
      </c>
      <c r="F27" s="1" t="str">
        <f>IF(MONTH(F$22)&lt;&gt;MONTH(DATE($G$2,$H$2,1)),"",INDEX(조편성!$D20:$AH20,MATCH(F$22,조편성!$D$13:$AH$13,0)))</f>
        <v>한영희</v>
      </c>
      <c r="G27" s="1" t="str">
        <f>IF(MONTH(G$22)&lt;&gt;MONTH(DATE($G$2,$H$2,1)),"",INDEX(조편성!$D20:$AH20,MATCH(G$22,조편성!$D$13:$AH$13,0)))</f>
        <v>한영희</v>
      </c>
      <c r="H27" s="1" t="str">
        <f>IF(MONTH(H$22)&lt;&gt;MONTH(DATE($G$2,$H$2,1)),"",INDEX(조편성!$D20:$AH20,MATCH(H$22,조편성!$D$13:$AH$13,0)))</f>
        <v>오광웅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</row>
    <row r="28" spans="1:43" s="7" customFormat="1" ht="18.45" customHeight="1" x14ac:dyDescent="0.25">
      <c r="A28" s="1" t="s">
        <v>3</v>
      </c>
      <c r="B28" s="12">
        <f>B22+7</f>
        <v>45739</v>
      </c>
      <c r="C28" s="12">
        <f t="shared" ref="C28:H28" si="4">B28+1</f>
        <v>45740</v>
      </c>
      <c r="D28" s="12">
        <f t="shared" si="4"/>
        <v>45741</v>
      </c>
      <c r="E28" s="12">
        <f t="shared" si="4"/>
        <v>45742</v>
      </c>
      <c r="F28" s="12">
        <f t="shared" si="4"/>
        <v>45743</v>
      </c>
      <c r="G28" s="12">
        <f t="shared" si="4"/>
        <v>45744</v>
      </c>
      <c r="H28" s="12">
        <f t="shared" si="4"/>
        <v>45745</v>
      </c>
    </row>
    <row r="29" spans="1:43" s="7" customFormat="1" ht="18.45" customHeight="1" x14ac:dyDescent="0.25">
      <c r="A29" s="1" t="s">
        <v>29</v>
      </c>
      <c r="B29" s="1" t="str">
        <f>IF(MONTH(B$28)&lt;&gt;MONTH(DATE($G$2,$H$2,1)),"",INDEX(조편성!$D$14:$AH$14,MATCH(B$28,조편성!$D$13:$AH$13,0)))</f>
        <v>장영대김대화</v>
      </c>
      <c r="C29" s="1" t="str">
        <f>IF(MONTH(C$28)&lt;&gt;MONTH(DATE($G$2,$H$2,1)),"",INDEX(조편성!$D$14:$AH$14,MATCH(C$28,조편성!$D$13:$AH$13,0)))</f>
        <v>장영대</v>
      </c>
      <c r="D29" s="1" t="str">
        <f>IF(MONTH(D$28)&lt;&gt;MONTH(DATE($G$2,$H$2,1)),"",INDEX(조편성!$D$14:$AH$14,MATCH(D$28,조편성!$D$13:$AH$13,0)))</f>
        <v>장영대</v>
      </c>
      <c r="E29" s="1" t="str">
        <f>IF(MONTH(E$28)&lt;&gt;MONTH(DATE($G$2,$H$2,1)),"",INDEX(조편성!$D$14:$AH$14,MATCH(E$28,조편성!$D$13:$AH$13,0)))</f>
        <v>장영대김대화</v>
      </c>
      <c r="F29" s="1" t="str">
        <f>IF(MONTH(F$28)&lt;&gt;MONTH(DATE($G$2,$H$2,1)),"",INDEX(조편성!$D$14:$AH$14,MATCH(F$28,조편성!$D$13:$AH$13,0)))</f>
        <v>김대화</v>
      </c>
      <c r="G29" s="1" t="str">
        <f>IF(MONTH(G$28)&lt;&gt;MONTH(DATE($G$2,$H$2,1)),"",INDEX(조편성!$D$14:$AH$14,MATCH(G$28,조편성!$D$13:$AH$13,0)))</f>
        <v>김대화</v>
      </c>
      <c r="H29" s="1" t="str">
        <f>IF(MONTH(H$28)&lt;&gt;MONTH(DATE($G$2,$H$2,1)),"",INDEX(조편성!$D$14:$AH$14,MATCH(H$28,조편성!$D$13:$AH$13,0)))</f>
        <v>장영대김대화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</row>
    <row r="30" spans="1:43" s="4" customFormat="1" ht="18.45" customHeight="1" x14ac:dyDescent="0.25">
      <c r="A30" s="1"/>
      <c r="B30" s="1" t="str">
        <f>IF(MONTH(B$28)&lt;&gt;MONTH(DATE($G$2,$H$2,1)),"",INDEX(조편성!$D$15:$AH$15,MATCH(B$28,조편성!$D$13:$AH$13,0)))</f>
        <v/>
      </c>
      <c r="C30" s="1" t="str">
        <f>IF(MONTH(C$28)&lt;&gt;MONTH(DATE($G$2,$H$2,1)),"",INDEX(조편성!$D$15:$AH$15,MATCH(C$28,조편성!$D$13:$AH$13,0)))</f>
        <v>안성용</v>
      </c>
      <c r="D30" s="1" t="str">
        <f>IF(MONTH(D$28)&lt;&gt;MONTH(DATE($G$2,$H$2,1)),"",INDEX(조편성!$D$15:$AH$15,MATCH(D$28,조편성!$D$13:$AH$13,0)))</f>
        <v>안성용</v>
      </c>
      <c r="E30" s="1" t="str">
        <f>IF(MONTH(E$28)&lt;&gt;MONTH(DATE($G$2,$H$2,1)),"",INDEX(조편성!$D$15:$AH$15,MATCH(E$28,조편성!$D$13:$AH$13,0)))</f>
        <v>안성용</v>
      </c>
      <c r="F30" s="1" t="str">
        <f>IF(MONTH(F$28)&lt;&gt;MONTH(DATE($G$2,$H$2,1)),"",INDEX(조편성!$D$15:$AH$15,MATCH(F$28,조편성!$D$13:$AH$13,0)))</f>
        <v>안성용</v>
      </c>
      <c r="G30" s="1" t="str">
        <f>IF(MONTH(G$28)&lt;&gt;MONTH(DATE($G$2,$H$2,1)),"",INDEX(조편성!$D$15:$AH$15,MATCH(G$28,조편성!$D$13:$AH$13,0)))</f>
        <v>안성용</v>
      </c>
      <c r="H30" s="1" t="str">
        <f>IF(MONTH(H$28)&lt;&gt;MONTH(DATE($G$2,$H$2,1)),"",INDEX(조편성!$D$15:$AH$15,MATCH(H$28,조편성!$D$13:$AH$13,0)))</f>
        <v/>
      </c>
      <c r="I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s="7" customFormat="1" ht="18.45" customHeight="1" x14ac:dyDescent="0.25">
      <c r="A31" s="1" t="s">
        <v>27</v>
      </c>
      <c r="B31" s="1" t="str">
        <f>IF(MONTH(B$28)&lt;&gt;MONTH(DATE($G$2,$H$2,1)),"",INDEX(조편성!$D$16:$AH$16,MATCH(B$28,조편성!$D$13:$AH$13,0)))</f>
        <v>김제원</v>
      </c>
      <c r="C31" s="1" t="str">
        <f>IF(MONTH(C$28)&lt;&gt;MONTH(DATE($G$2,$H$2,1)),"",INDEX(조편성!$D$16:$AH$16,MATCH(C$28,조편성!$D$13:$AH$13,0)))</f>
        <v>김제원</v>
      </c>
      <c r="D31" s="1" t="str">
        <f>IF(MONTH(D$28)&lt;&gt;MONTH(DATE($G$2,$H$2,1)),"",INDEX(조편성!$D$16:$AH$16,MATCH(D$28,조편성!$D$13:$AH$13,0)))</f>
        <v>오광웅김제원</v>
      </c>
      <c r="E31" s="1" t="str">
        <f>IF(MONTH(E$28)&lt;&gt;MONTH(DATE($G$2,$H$2,1)),"",INDEX(조편성!$D$16:$AH$16,MATCH(E$28,조편성!$D$13:$AH$13,0)))</f>
        <v>오광웅김제원</v>
      </c>
      <c r="F31" s="1" t="str">
        <f>IF(MONTH(F$28)&lt;&gt;MONTH(DATE($G$2,$H$2,1)),"",INDEX(조편성!$D$16:$AH$16,MATCH(F$28,조편성!$D$13:$AH$13,0)))</f>
        <v>오광웅</v>
      </c>
      <c r="G31" s="1" t="str">
        <f>IF(MONTH(G$28)&lt;&gt;MONTH(DATE($G$2,$H$2,1)),"",INDEX(조편성!$D$16:$AH$16,MATCH(G$28,조편성!$D$13:$AH$13,0)))</f>
        <v>오광웅</v>
      </c>
      <c r="H31" s="1" t="str">
        <f>IF(MONTH(H$28)&lt;&gt;MONTH(DATE($G$2,$H$2,1)),"",INDEX(조편성!$D$16:$AH$16,MATCH(H$28,조편성!$D$13:$AH$13,0)))</f>
        <v/>
      </c>
    </row>
    <row r="32" spans="1:43" s="4" customFormat="1" ht="18.45" customHeight="1" x14ac:dyDescent="0.25">
      <c r="A32" s="1"/>
      <c r="B32" s="1" t="str">
        <f>IF(MONTH(B$28)&lt;&gt;MONTH(DATE($G$2,$H$2,1)),"",INDEX(조편성!$D$17:$AH$17,MATCH(B$28,조편성!$D$13:$AH$13,0)))</f>
        <v/>
      </c>
      <c r="C32" s="1" t="str">
        <f>IF(MONTH(C$28)&lt;&gt;MONTH(DATE($G$2,$H$2,1)),"",INDEX(조편성!$D$17:$AH$17,MATCH(C$28,조편성!$D$13:$AH$13,0)))</f>
        <v/>
      </c>
      <c r="D32" s="1" t="str">
        <f>IF(MONTH(D$28)&lt;&gt;MONTH(DATE($G$2,$H$2,1)),"",INDEX(조편성!$D$17:$AH$17,MATCH(D$28,조편성!$D$13:$AH$13,0)))</f>
        <v/>
      </c>
      <c r="E32" s="1" t="str">
        <f>IF(MONTH(E$28)&lt;&gt;MONTH(DATE($G$2,$H$2,1)),"",INDEX(조편성!$D$17:$AH$17,MATCH(E$28,조편성!$D$13:$AH$13,0)))</f>
        <v/>
      </c>
      <c r="F32" s="1" t="str">
        <f>IF(MONTH(F$28)&lt;&gt;MONTH(DATE($G$2,$H$2,1)),"",INDEX(조편성!$D$17:$AH$17,MATCH(F$28,조편성!$D$13:$AH$13,0)))</f>
        <v/>
      </c>
      <c r="G32" s="1" t="str">
        <f>IF(MONTH(G$28)&lt;&gt;MONTH(DATE($G$2,$H$2,1)),"",INDEX(조편성!$D$17:$AH$17,MATCH(G$28,조편성!$D$13:$AH$13,0)))</f>
        <v/>
      </c>
      <c r="H32" s="1" t="str">
        <f>IF(MONTH(H$28)&lt;&gt;MONTH(DATE($G$2,$H$2,1)),"",INDEX(조편성!$D$17:$AH$17,MATCH(H$28,조편성!$D$13:$AH$13,0)))</f>
        <v/>
      </c>
      <c r="I32" s="7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s="7" customFormat="1" ht="18.45" customHeight="1" x14ac:dyDescent="0.25">
      <c r="A33" s="1" t="s">
        <v>25</v>
      </c>
      <c r="B33" s="1" t="str">
        <f>IF(MONTH(B$28)&lt;&gt;MONTH(DATE($G$2,$H$2,1)),"",INDEX(조편성!$D20:$AH20,MATCH(B$28,조편성!$D$13:$AH$13,0)))</f>
        <v>신대진</v>
      </c>
      <c r="C33" s="1" t="str">
        <f>IF(MONTH(C$28)&lt;&gt;MONTH(DATE($G$2,$H$2,1)),"",INDEX(조편성!$D20:$AH20,MATCH(C$28,조편성!$D$13:$AH$13,0)))</f>
        <v>신대진</v>
      </c>
      <c r="D33" s="1" t="str">
        <f>IF(MONTH(D$28)&lt;&gt;MONTH(DATE($G$2,$H$2,1)),"",INDEX(조편성!$D20:$AH20,MATCH(D$28,조편성!$D$13:$AH$13,0)))</f>
        <v>한영희</v>
      </c>
      <c r="E33" s="1" t="str">
        <f>IF(MONTH(E$28)&lt;&gt;MONTH(DATE($G$2,$H$2,1)),"",INDEX(조편성!$D20:$AH20,MATCH(E$28,조편성!$D$13:$AH$13,0)))</f>
        <v>한영희</v>
      </c>
      <c r="F33" s="1" t="str">
        <f>IF(MONTH(F$28)&lt;&gt;MONTH(DATE($G$2,$H$2,1)),"",INDEX(조편성!$D20:$AH20,MATCH(F$28,조편성!$D$13:$AH$13,0)))</f>
        <v>김제원</v>
      </c>
      <c r="G33" s="1" t="str">
        <f>IF(MONTH(G$28)&lt;&gt;MONTH(DATE($G$2,$H$2,1)),"",INDEX(조편성!$D20:$AH20,MATCH(G$28,조편성!$D$13:$AH$13,0)))</f>
        <v>신대진</v>
      </c>
      <c r="H33" s="1" t="str">
        <f>IF(MONTH(H$28)&lt;&gt;MONTH(DATE($G$2,$H$2,1)),"",INDEX(조편성!$D20:$AH20,MATCH(H$28,조편성!$D$13:$AH$13,0)))</f>
        <v>신대진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s="7" customFormat="1" ht="16.2" customHeight="1" x14ac:dyDescent="0.25">
      <c r="B34"/>
      <c r="C34"/>
      <c r="D34"/>
      <c r="E34"/>
      <c r="F34"/>
      <c r="G34"/>
      <c r="H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</row>
    <row r="38" spans="1:43" ht="31.2" customHeight="1" x14ac:dyDescent="0.25"/>
  </sheetData>
  <phoneticPr fontId="6" type="noConversion"/>
  <dataValidations count="1">
    <dataValidation operator="equal" allowBlank="1" showInputMessage="1" showErrorMessage="1" sqref="B23:H27 B11:H15 B5:H9 B17:H21 B29:H33" xr:uid="{00000000-0002-0000-2F00-000000000000}"/>
  </dataValidations>
  <pageMargins left="0.74803149606299213" right="0.74803149606299213" top="0.98425196850393704" bottom="0.98425196850393704" header="0.51181102362204722" footer="0.51181102362204722"/>
  <pageSetup paperSize="9" scale="75" fitToWidth="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FF752-716A-4C49-BD14-4F4EC1155554}">
  <dimension ref="A2:AQ39"/>
  <sheetViews>
    <sheetView topLeftCell="B30" workbookViewId="0">
      <selection activeCell="B35" sqref="B35:C39"/>
    </sheetView>
  </sheetViews>
  <sheetFormatPr defaultColWidth="8.77734375" defaultRowHeight="13.2" x14ac:dyDescent="0.25"/>
  <cols>
    <col min="1" max="8" width="23.77734375" customWidth="1"/>
    <col min="9" max="10" width="9" customWidth="1"/>
    <col min="11" max="11" width="17" customWidth="1"/>
    <col min="12" max="12" width="14.33203125" customWidth="1"/>
    <col min="13" max="46" width="22.109375" customWidth="1"/>
  </cols>
  <sheetData>
    <row r="2" spans="1:9" s="8" customFormat="1" ht="24" customHeight="1" x14ac:dyDescent="0.25">
      <c r="B2" s="8" t="s">
        <v>22</v>
      </c>
      <c r="G2" s="5">
        <f>월총근무일과시간!F2</f>
        <v>2025</v>
      </c>
      <c r="H2" s="6">
        <f>월총근무일과시간!G2</f>
        <v>3</v>
      </c>
    </row>
    <row r="3" spans="1:9" s="7" customFormat="1" ht="16.2" customHeight="1" x14ac:dyDescent="0.25">
      <c r="A3" s="10"/>
      <c r="B3" s="1" t="s">
        <v>5</v>
      </c>
      <c r="C3" s="1" t="s">
        <v>15</v>
      </c>
      <c r="D3" s="1" t="s">
        <v>8</v>
      </c>
      <c r="E3" s="11" t="s">
        <v>1</v>
      </c>
      <c r="F3" s="11" t="s">
        <v>17</v>
      </c>
      <c r="G3" s="11" t="s">
        <v>16</v>
      </c>
      <c r="H3" s="11" t="s">
        <v>9</v>
      </c>
    </row>
    <row r="4" spans="1:9" s="7" customFormat="1" ht="16.2" customHeight="1" x14ac:dyDescent="0.25">
      <c r="A4" s="1" t="s">
        <v>3</v>
      </c>
      <c r="B4" s="12">
        <f>DATE(G$2,H$2,1)-WEEKDAY(DATE($G$2,$H$2,1),1)+1</f>
        <v>45711</v>
      </c>
      <c r="C4" s="12">
        <f t="shared" ref="C4:H4" si="0">B4+1</f>
        <v>45712</v>
      </c>
      <c r="D4" s="12">
        <f t="shared" si="0"/>
        <v>45713</v>
      </c>
      <c r="E4" s="12">
        <f t="shared" si="0"/>
        <v>45714</v>
      </c>
      <c r="F4" s="12">
        <f t="shared" si="0"/>
        <v>45715</v>
      </c>
      <c r="G4" s="12">
        <f t="shared" si="0"/>
        <v>45716</v>
      </c>
      <c r="H4" s="12">
        <f t="shared" si="0"/>
        <v>45717</v>
      </c>
    </row>
    <row r="5" spans="1:9" s="7" customFormat="1" ht="16.2" customHeight="1" x14ac:dyDescent="0.25">
      <c r="A5" s="1" t="s">
        <v>29</v>
      </c>
      <c r="B5" s="1" t="str">
        <f>IF(MONTH(B$4)&lt;&gt;MONTH(DATE($G$2,$H$2,1)),"",INDEX(조편성!$D14:$AH14,MATCH(B$4,조편성!$D$13:$AH$13,0)))</f>
        <v/>
      </c>
      <c r="C5" s="1" t="str">
        <f>IF(MONTH(C$4)&lt;&gt;MONTH(DATE($G$2,$H$2,1)),"",INDEX(조편성!$D14:$AH14,MATCH(C$4,조편성!$D$13:$AH$13,0)))</f>
        <v/>
      </c>
      <c r="D5" s="1" t="str">
        <f>IF(MONTH(D$4)&lt;&gt;MONTH(DATE($G$2,$H$2,1)),"",INDEX(조편성!$D14:$AH14,MATCH(D$4,조편성!$D$13:$AH$13,0)))</f>
        <v/>
      </c>
      <c r="E5" s="1" t="str">
        <f>IF(MONTH(E$4)&lt;&gt;MONTH(DATE($G$2,$H$2,1)),"",INDEX(조편성!$D14:$AH14,MATCH(E$4,조편성!$D$13:$AH$13,0)))</f>
        <v/>
      </c>
      <c r="F5" s="1" t="str">
        <f>IF(MONTH(F$4)&lt;&gt;MONTH(DATE($G$2,$H$2,1)),"",INDEX(조편성!$D14:$AH14,MATCH(F$4,조편성!$D$13:$AH$13,0)))</f>
        <v/>
      </c>
      <c r="G5" s="1" t="str">
        <f>IF(MONTH(G$4)&lt;&gt;MONTH(DATE($G$2,$H$2,1)),"",INDEX(조편성!$D14:$AH14,MATCH(G$4,조편성!$D$13:$AH$13,0)))</f>
        <v/>
      </c>
      <c r="H5" s="1" t="str">
        <f>IF(MONTH(H$4)&lt;&gt;MONTH(DATE($G$2,$H$2,1)),"",INDEX(조편성!$D14:$AH14,MATCH(H$4,조편성!$D$13:$AH$13,0)))</f>
        <v>장영대김대화</v>
      </c>
    </row>
    <row r="6" spans="1:9" s="4" customFormat="1" ht="16.2" customHeight="1" x14ac:dyDescent="0.25">
      <c r="A6" s="1"/>
      <c r="B6" s="1" t="str">
        <f>IF(MONTH(B$4)&lt;&gt;MONTH(DATE($G$2,$H$2,1)),"",INDEX(조편성!$D15:$AH15,MATCH(B$4,조편성!$D$13:$AH$13,0)))</f>
        <v/>
      </c>
      <c r="C6" s="1" t="str">
        <f>IF(MONTH(C$4)&lt;&gt;MONTH(DATE($G$2,$H$2,1)),"",INDEX(조편성!$D15:$AH15,MATCH(C$4,조편성!$D$13:$AH$13,0)))</f>
        <v/>
      </c>
      <c r="D6" s="1" t="str">
        <f>IF(MONTH(D$4)&lt;&gt;MONTH(DATE($G$2,$H$2,1)),"",INDEX(조편성!$D15:$AH15,MATCH(D$4,조편성!$D$13:$AH$13,0)))</f>
        <v/>
      </c>
      <c r="E6" s="1" t="str">
        <f>IF(MONTH(E$4)&lt;&gt;MONTH(DATE($G$2,$H$2,1)),"",INDEX(조편성!$D15:$AH15,MATCH(E$4,조편성!$D$13:$AH$13,0)))</f>
        <v/>
      </c>
      <c r="F6" s="1" t="str">
        <f>IF(MONTH(F$4)&lt;&gt;MONTH(DATE($G$2,$H$2,1)),"",INDEX(조편성!$D15:$AH15,MATCH(F$4,조편성!$D$13:$AH$13,0)))</f>
        <v/>
      </c>
      <c r="G6" s="1" t="str">
        <f>IF(MONTH(G$4)&lt;&gt;MONTH(DATE($G$2,$H$2,1)),"",INDEX(조편성!$D15:$AH15,MATCH(G$4,조편성!$D$13:$AH$13,0)))</f>
        <v/>
      </c>
      <c r="H6" s="1" t="str">
        <f>IF(MONTH(H$4)&lt;&gt;MONTH(DATE($G$2,$H$2,1)),"",INDEX(조편성!$D15:$AH15,MATCH(H$4,조편성!$D$13:$AH$13,0)))</f>
        <v/>
      </c>
      <c r="I6" s="7"/>
    </row>
    <row r="7" spans="1:9" s="7" customFormat="1" ht="16.2" customHeight="1" x14ac:dyDescent="0.25">
      <c r="A7" s="1" t="s">
        <v>27</v>
      </c>
      <c r="B7" s="1" t="str">
        <f>IF(MONTH(B$4)&lt;&gt;MONTH(DATE($G$2,$H$2,1)),"",INDEX(조편성!$D16:$AH16,MATCH(B$4,조편성!$D$13:$AH$13,0)))</f>
        <v/>
      </c>
      <c r="C7" s="1" t="str">
        <f>IF(MONTH(C$4)&lt;&gt;MONTH(DATE($G$2,$H$2,1)),"",INDEX(조편성!$D16:$AH16,MATCH(C$4,조편성!$D$13:$AH$13,0)))</f>
        <v/>
      </c>
      <c r="D7" s="1" t="str">
        <f>IF(MONTH(D$4)&lt;&gt;MONTH(DATE($G$2,$H$2,1)),"",INDEX(조편성!$D16:$AH16,MATCH(D$4,조편성!$D$13:$AH$13,0)))</f>
        <v/>
      </c>
      <c r="E7" s="1" t="str">
        <f>IF(MONTH(E$4)&lt;&gt;MONTH(DATE($G$2,$H$2,1)),"",INDEX(조편성!$D16:$AH16,MATCH(E$4,조편성!$D$13:$AH$13,0)))</f>
        <v/>
      </c>
      <c r="F7" s="1" t="str">
        <f>IF(MONTH(F$4)&lt;&gt;MONTH(DATE($G$2,$H$2,1)),"",INDEX(조편성!$D16:$AH16,MATCH(F$4,조편성!$D$13:$AH$13,0)))</f>
        <v/>
      </c>
      <c r="G7" s="1" t="str">
        <f>IF(MONTH(G$4)&lt;&gt;MONTH(DATE($G$2,$H$2,1)),"",INDEX(조편성!$D16:$AH16,MATCH(G$4,조편성!$D$13:$AH$13,0)))</f>
        <v/>
      </c>
      <c r="H7" s="1" t="str">
        <f>IF(MONTH(H$4)&lt;&gt;MONTH(DATE($G$2,$H$2,1)),"",INDEX(조편성!$D16:$AH16,MATCH(H$4,조편성!$D$13:$AH$13,0)))</f>
        <v/>
      </c>
    </row>
    <row r="8" spans="1:9" s="4" customFormat="1" ht="16.2" customHeight="1" x14ac:dyDescent="0.25">
      <c r="A8" s="1"/>
      <c r="B8" s="1" t="str">
        <f>IF(MONTH(B$4)&lt;&gt;MONTH(DATE($G$2,$H$2,1)),"",INDEX(조편성!$D17:$AH17,MATCH(B$4,조편성!$D$13:$AH$13,0)))</f>
        <v/>
      </c>
      <c r="C8" s="1" t="str">
        <f>IF(MONTH(C$4)&lt;&gt;MONTH(DATE($G$2,$H$2,1)),"",INDEX(조편성!$D17:$AH17,MATCH(C$4,조편성!$D$13:$AH$13,0)))</f>
        <v/>
      </c>
      <c r="D8" s="1" t="str">
        <f>IF(MONTH(D$4)&lt;&gt;MONTH(DATE($G$2,$H$2,1)),"",INDEX(조편성!$D17:$AH17,MATCH(D$4,조편성!$D$13:$AH$13,0)))</f>
        <v/>
      </c>
      <c r="E8" s="1" t="str">
        <f>IF(MONTH(E$4)&lt;&gt;MONTH(DATE($G$2,$H$2,1)),"",INDEX(조편성!$D17:$AH17,MATCH(E$4,조편성!$D$13:$AH$13,0)))</f>
        <v/>
      </c>
      <c r="F8" s="1" t="str">
        <f>IF(MONTH(F$4)&lt;&gt;MONTH(DATE($G$2,$H$2,1)),"",INDEX(조편성!$D17:$AH17,MATCH(F$4,조편성!$D$13:$AH$13,0)))</f>
        <v/>
      </c>
      <c r="G8" s="1" t="str">
        <f>IF(MONTH(G$4)&lt;&gt;MONTH(DATE($G$2,$H$2,1)),"",INDEX(조편성!$D17:$AH17,MATCH(G$4,조편성!$D$13:$AH$13,0)))</f>
        <v/>
      </c>
      <c r="H8" s="1" t="str">
        <f>IF(MONTH(H$4)&lt;&gt;MONTH(DATE($G$2,$H$2,1)),"",INDEX(조편성!$D17:$AH17,MATCH(H$4,조편성!$D$13:$AH$13,0)))</f>
        <v>위선옥</v>
      </c>
      <c r="I8" s="7"/>
    </row>
    <row r="9" spans="1:9" s="7" customFormat="1" ht="16.2" customHeight="1" x14ac:dyDescent="0.25">
      <c r="A9" s="1" t="s">
        <v>25</v>
      </c>
      <c r="B9" s="1" t="str">
        <f>IF(MONTH(B$4)&lt;&gt;MONTH(DATE($G$2,$H$2,1)),"",INDEX(조편성!$D20:$AH20,MATCH(B$4,조편성!$D$13:$AH$13,0)))</f>
        <v/>
      </c>
      <c r="C9" s="1" t="str">
        <f>IF(MONTH(C$4)&lt;&gt;MONTH(DATE($G$2,$H$2,1)),"",INDEX(조편성!$D20:$AH20,MATCH(C$4,조편성!$D$13:$AH$13,0)))</f>
        <v/>
      </c>
      <c r="D9" s="1" t="str">
        <f>IF(MONTH(D$4)&lt;&gt;MONTH(DATE($G$2,$H$2,1)),"",INDEX(조편성!$D20:$AH20,MATCH(D$4,조편성!$D$13:$AH$13,0)))</f>
        <v/>
      </c>
      <c r="E9" s="1" t="str">
        <f>IF(MONTH(E$4)&lt;&gt;MONTH(DATE($G$2,$H$2,1)),"",INDEX(조편성!$D20:$AH20,MATCH(E$4,조편성!$D$13:$AH$13,0)))</f>
        <v/>
      </c>
      <c r="F9" s="1" t="str">
        <f>IF(MONTH(F$4)&lt;&gt;MONTH(DATE($G$2,$H$2,1)),"",INDEX(조편성!$D20:$AH20,MATCH(F$4,조편성!$D$13:$AH$13,0)))</f>
        <v/>
      </c>
      <c r="G9" s="1" t="str">
        <f>IF(MONTH(G$4)&lt;&gt;MONTH(DATE($G$2,$H$2,1)),"",INDEX(조편성!$D20:$AH20,MATCH(G$4,조편성!$D$13:$AH$13,0)))</f>
        <v/>
      </c>
      <c r="H9" s="1" t="str">
        <f>IF(MONTH(H$4)&lt;&gt;MONTH(DATE($G$2,$H$2,1)),"",INDEX(조편성!$D20:$AH20,MATCH(H$4,조편성!$D$13:$AH$13,0)))</f>
        <v>한영희</v>
      </c>
    </row>
    <row r="10" spans="1:9" s="7" customFormat="1" ht="16.2" customHeight="1" x14ac:dyDescent="0.25">
      <c r="A10" s="1" t="s">
        <v>3</v>
      </c>
      <c r="B10" s="12">
        <f>B4+7</f>
        <v>45718</v>
      </c>
      <c r="C10" s="12">
        <f t="shared" ref="C10:H10" si="1">B10+1</f>
        <v>45719</v>
      </c>
      <c r="D10" s="12">
        <f t="shared" si="1"/>
        <v>45720</v>
      </c>
      <c r="E10" s="12">
        <f t="shared" si="1"/>
        <v>45721</v>
      </c>
      <c r="F10" s="12">
        <f t="shared" si="1"/>
        <v>45722</v>
      </c>
      <c r="G10" s="12">
        <f t="shared" si="1"/>
        <v>45723</v>
      </c>
      <c r="H10" s="12">
        <f t="shared" si="1"/>
        <v>45724</v>
      </c>
    </row>
    <row r="11" spans="1:9" s="7" customFormat="1" ht="16.2" customHeight="1" x14ac:dyDescent="0.25">
      <c r="A11" s="1" t="s">
        <v>29</v>
      </c>
      <c r="B11" s="1" t="str">
        <f>IF(MONTH(B$10)&lt;&gt;MONTH(DATE($G$2,$H$2,1)),"",INDEX(조편성!$D14:$AH14,MATCH(B$10,조편성!$D$13:$AH$13,0)))</f>
        <v>장영대</v>
      </c>
      <c r="C11" s="1" t="str">
        <f>IF(MONTH(C$10)&lt;&gt;MONTH(DATE($G$2,$H$2,1)),"",INDEX(조편성!$D14:$AH14,MATCH(C$10,조편성!$D$13:$AH$13,0)))</f>
        <v>장영대</v>
      </c>
      <c r="D11" s="1" t="str">
        <f>IF(MONTH(D$10)&lt;&gt;MONTH(DATE($G$2,$H$2,1)),"",INDEX(조편성!$D14:$AH14,MATCH(D$10,조편성!$D$13:$AH$13,0)))</f>
        <v>장영대</v>
      </c>
      <c r="E11" s="1" t="str">
        <f>IF(MONTH(E$10)&lt;&gt;MONTH(DATE($G$2,$H$2,1)),"",INDEX(조편성!$D14:$AH14,MATCH(E$10,조편성!$D$13:$AH$13,0)))</f>
        <v>김대화</v>
      </c>
      <c r="F11" s="1" t="str">
        <f>IF(MONTH(F$10)&lt;&gt;MONTH(DATE($G$2,$H$2,1)),"",INDEX(조편성!$D14:$AH14,MATCH(F$10,조편성!$D$13:$AH$13,0)))</f>
        <v>김대화</v>
      </c>
      <c r="G11" s="1" t="str">
        <f>IF(MONTH(G$10)&lt;&gt;MONTH(DATE($G$2,$H$2,1)),"",INDEX(조편성!$D14:$AH14,MATCH(G$10,조편성!$D$13:$AH$13,0)))</f>
        <v>김대화</v>
      </c>
      <c r="H11" s="1" t="str">
        <f>IF(MONTH(H$10)&lt;&gt;MONTH(DATE($G$2,$H$2,1)),"",INDEX(조편성!$D14:$AH14,MATCH(H$10,조편성!$D$13:$AH$13,0)))</f>
        <v>장영대김대화</v>
      </c>
    </row>
    <row r="12" spans="1:9" s="7" customFormat="1" ht="16.2" customHeight="1" x14ac:dyDescent="0.25">
      <c r="A12" s="1"/>
      <c r="B12" s="1" t="str">
        <f>IF(MONTH(B$10)&lt;&gt;MONTH(DATE($G$2,$H$2,1)),"",INDEX(조편성!$D15:$AH15,MATCH(B$10,조편성!$D$13:$AH$13,0)))</f>
        <v/>
      </c>
      <c r="C12" s="1" t="str">
        <f>IF(MONTH(C$10)&lt;&gt;MONTH(DATE($G$2,$H$2,1)),"",INDEX(조편성!$D15:$AH15,MATCH(C$10,조편성!$D$13:$AH$13,0)))</f>
        <v>안성용</v>
      </c>
      <c r="D12" s="1" t="str">
        <f>IF(MONTH(D$10)&lt;&gt;MONTH(DATE($G$2,$H$2,1)),"",INDEX(조편성!$D15:$AH15,MATCH(D$10,조편성!$D$13:$AH$13,0)))</f>
        <v>안성용</v>
      </c>
      <c r="E12" s="1" t="str">
        <f>IF(MONTH(E$10)&lt;&gt;MONTH(DATE($G$2,$H$2,1)),"",INDEX(조편성!$D15:$AH15,MATCH(E$10,조편성!$D$13:$AH$13,0)))</f>
        <v>안성용</v>
      </c>
      <c r="F12" s="1" t="str">
        <f>IF(MONTH(F$10)&lt;&gt;MONTH(DATE($G$2,$H$2,1)),"",INDEX(조편성!$D15:$AH15,MATCH(F$10,조편성!$D$13:$AH$13,0)))</f>
        <v>안성용</v>
      </c>
      <c r="G12" s="1" t="str">
        <f>IF(MONTH(G$10)&lt;&gt;MONTH(DATE($G$2,$H$2,1)),"",INDEX(조편성!$D15:$AH15,MATCH(G$10,조편성!$D$13:$AH$13,0)))</f>
        <v/>
      </c>
      <c r="H12" s="1" t="str">
        <f>IF(MONTH(H$10)&lt;&gt;MONTH(DATE($G$2,$H$2,1)),"",INDEX(조편성!$D15:$AH15,MATCH(H$10,조편성!$D$13:$AH$13,0)))</f>
        <v/>
      </c>
    </row>
    <row r="13" spans="1:9" s="7" customFormat="1" ht="16.2" customHeight="1" x14ac:dyDescent="0.25">
      <c r="A13" s="1" t="s">
        <v>27</v>
      </c>
      <c r="B13" s="1" t="str">
        <f>IF(MONTH(B$10)&lt;&gt;MONTH(DATE($G$2,$H$2,1)),"",INDEX(조편성!$D16:$AH16,MATCH(B$10,조편성!$D$13:$AH$13,0)))</f>
        <v>김제원</v>
      </c>
      <c r="C13" s="1" t="str">
        <f>IF(MONTH(C$10)&lt;&gt;MONTH(DATE($G$2,$H$2,1)),"",INDEX(조편성!$D16:$AH16,MATCH(C$10,조편성!$D$13:$AH$13,0)))</f>
        <v>김제원</v>
      </c>
      <c r="D13" s="1" t="str">
        <f>IF(MONTH(D$10)&lt;&gt;MONTH(DATE($G$2,$H$2,1)),"",INDEX(조편성!$D16:$AH16,MATCH(D$10,조편성!$D$13:$AH$13,0)))</f>
        <v>오광웅김제원</v>
      </c>
      <c r="E13" s="1" t="str">
        <f>IF(MONTH(E$10)&lt;&gt;MONTH(DATE($G$2,$H$2,1)),"",INDEX(조편성!$D16:$AH16,MATCH(E$10,조편성!$D$13:$AH$13,0)))</f>
        <v>오광웅김제원</v>
      </c>
      <c r="F13" s="1" t="str">
        <f>IF(MONTH(F$10)&lt;&gt;MONTH(DATE($G$2,$H$2,1)),"",INDEX(조편성!$D16:$AH16,MATCH(F$10,조편성!$D$13:$AH$13,0)))</f>
        <v>오광웅</v>
      </c>
      <c r="G13" s="1" t="str">
        <f>IF(MONTH(G$10)&lt;&gt;MONTH(DATE($G$2,$H$2,1)),"",INDEX(조편성!$D16:$AH16,MATCH(G$10,조편성!$D$13:$AH$13,0)))</f>
        <v>오광웅</v>
      </c>
      <c r="H13" s="1" t="str">
        <f>IF(MONTH(H$10)&lt;&gt;MONTH(DATE($G$2,$H$2,1)),"",INDEX(조편성!$D16:$AH16,MATCH(H$10,조편성!$D$13:$AH$13,0)))</f>
        <v/>
      </c>
    </row>
    <row r="14" spans="1:9" s="4" customFormat="1" ht="16.2" customHeight="1" x14ac:dyDescent="0.25">
      <c r="A14" s="1"/>
      <c r="B14" s="1" t="str">
        <f>IF(MONTH(B$10)&lt;&gt;MONTH(DATE($G$2,$H$2,1)),"",INDEX(조편성!$D17:$AH17,MATCH(B$10,조편성!$D$13:$AH$13,0)))</f>
        <v>위선옥</v>
      </c>
      <c r="C14" s="1" t="str">
        <f>IF(MONTH(C$10)&lt;&gt;MONTH(DATE($G$2,$H$2,1)),"",INDEX(조편성!$D17:$AH17,MATCH(C$10,조편성!$D$13:$AH$13,0)))</f>
        <v>위선옥</v>
      </c>
      <c r="D14" s="1" t="str">
        <f>IF(MONTH(D$10)&lt;&gt;MONTH(DATE($G$2,$H$2,1)),"",INDEX(조편성!$D17:$AH17,MATCH(D$10,조편성!$D$13:$AH$13,0)))</f>
        <v/>
      </c>
      <c r="E14" s="1" t="str">
        <f>IF(MONTH(E$10)&lt;&gt;MONTH(DATE($G$2,$H$2,1)),"",INDEX(조편성!$D17:$AH17,MATCH(E$10,조편성!$D$13:$AH$13,0)))</f>
        <v/>
      </c>
      <c r="F14" s="1" t="str">
        <f>IF(MONTH(F$10)&lt;&gt;MONTH(DATE($G$2,$H$2,1)),"",INDEX(조편성!$D17:$AH17,MATCH(F$10,조편성!$D$13:$AH$13,0)))</f>
        <v/>
      </c>
      <c r="G14" s="1" t="str">
        <f>IF(MONTH(G$10)&lt;&gt;MONTH(DATE($G$2,$H$2,1)),"",INDEX(조편성!$D17:$AH17,MATCH(G$10,조편성!$D$13:$AH$13,0)))</f>
        <v>위선옥</v>
      </c>
      <c r="H14" s="1" t="str">
        <f>IF(MONTH(H$10)&lt;&gt;MONTH(DATE($G$2,$H$2,1)),"",INDEX(조편성!$D17:$AH17,MATCH(H$10,조편성!$D$13:$AH$13,0)))</f>
        <v>위선옥</v>
      </c>
      <c r="I14" s="7"/>
    </row>
    <row r="15" spans="1:9" s="7" customFormat="1" ht="16.2" customHeight="1" x14ac:dyDescent="0.25">
      <c r="A15" s="1" t="s">
        <v>25</v>
      </c>
      <c r="B15" s="1" t="str">
        <f>IF(MONTH(B$10)&lt;&gt;MONTH(DATE($G$2,$H$2,1)),"",INDEX(조편성!$D20:$AH20,MATCH(B$10,조편성!$D$13:$AH$13,0)))</f>
        <v>한영희</v>
      </c>
      <c r="C15" s="1" t="str">
        <f>IF(MONTH(C$10)&lt;&gt;MONTH(DATE($G$2,$H$2,1)),"",INDEX(조편성!$D20:$AH20,MATCH(C$10,조편성!$D$13:$AH$13,0)))</f>
        <v>신대진</v>
      </c>
      <c r="D15" s="1" t="str">
        <f>IF(MONTH(D$10)&lt;&gt;MONTH(DATE($G$2,$H$2,1)),"",INDEX(조편성!$D20:$AH20,MATCH(D$10,조편성!$D$13:$AH$13,0)))</f>
        <v>신대진</v>
      </c>
      <c r="E15" s="1" t="str">
        <f>IF(MONTH(E$10)&lt;&gt;MONTH(DATE($G$2,$H$2,1)),"",INDEX(조편성!$D20:$AH20,MATCH(E$10,조편성!$D$13:$AH$13,0)))</f>
        <v>한영희</v>
      </c>
      <c r="F15" s="1" t="str">
        <f>IF(MONTH(F$10)&lt;&gt;MONTH(DATE($G$2,$H$2,1)),"",INDEX(조편성!$D20:$AH20,MATCH(F$10,조편성!$D$13:$AH$13,0)))</f>
        <v>한영희</v>
      </c>
      <c r="G15" s="1" t="str">
        <f>IF(MONTH(G$10)&lt;&gt;MONTH(DATE($G$2,$H$2,1)),"",INDEX(조편성!$D20:$AH20,MATCH(G$10,조편성!$D$13:$AH$13,0)))</f>
        <v>신대진</v>
      </c>
      <c r="H15" s="1" t="str">
        <f>IF(MONTH(H$10)&lt;&gt;MONTH(DATE($G$2,$H$2,1)),"",INDEX(조편성!$D20:$AH20,MATCH(H$10,조편성!$D$13:$AH$13,0)))</f>
        <v>오광웅</v>
      </c>
    </row>
    <row r="16" spans="1:9" s="7" customFormat="1" ht="16.2" customHeight="1" x14ac:dyDescent="0.25">
      <c r="A16" s="1" t="s">
        <v>3</v>
      </c>
      <c r="B16" s="12">
        <f>B10+7</f>
        <v>45725</v>
      </c>
      <c r="C16" s="12">
        <f t="shared" ref="C16:H16" si="2">B16+1</f>
        <v>45726</v>
      </c>
      <c r="D16" s="12">
        <f t="shared" si="2"/>
        <v>45727</v>
      </c>
      <c r="E16" s="12">
        <f t="shared" si="2"/>
        <v>45728</v>
      </c>
      <c r="F16" s="12">
        <f t="shared" si="2"/>
        <v>45729</v>
      </c>
      <c r="G16" s="12">
        <f t="shared" si="2"/>
        <v>45730</v>
      </c>
      <c r="H16" s="12">
        <f t="shared" si="2"/>
        <v>45731</v>
      </c>
    </row>
    <row r="17" spans="1:43" s="7" customFormat="1" ht="16.2" customHeight="1" x14ac:dyDescent="0.25">
      <c r="A17" s="1" t="s">
        <v>29</v>
      </c>
      <c r="B17" s="1" t="str">
        <f>IF(MONTH(B$16)&lt;&gt;MONTH(DATE($G$2,$H$2,1)),"",INDEX(조편성!$D14:$AH14,MATCH(B$16,조편성!$D$13:$AH$13,0)))</f>
        <v>장영대</v>
      </c>
      <c r="C17" s="1" t="str">
        <f>IF(MONTH(C$16)&lt;&gt;MONTH(DATE($G$2,$H$2,1)),"",INDEX(조편성!$D14:$AH14,MATCH(C$16,조편성!$D$13:$AH$13,0)))</f>
        <v>장영대</v>
      </c>
      <c r="D17" s="1" t="str">
        <f>IF(MONTH(D$16)&lt;&gt;MONTH(DATE($G$2,$H$2,1)),"",INDEX(조편성!$D14:$AH14,MATCH(D$16,조편성!$D$13:$AH$13,0)))</f>
        <v>장영대</v>
      </c>
      <c r="E17" s="1" t="str">
        <f>IF(MONTH(E$16)&lt;&gt;MONTH(DATE($G$2,$H$2,1)),"",INDEX(조편성!$D14:$AH14,MATCH(E$16,조편성!$D$13:$AH$13,0)))</f>
        <v>김대화</v>
      </c>
      <c r="F17" s="1" t="str">
        <f>IF(MONTH(F$16)&lt;&gt;MONTH(DATE($G$2,$H$2,1)),"",INDEX(조편성!$D14:$AH14,MATCH(F$16,조편성!$D$13:$AH$13,0)))</f>
        <v>김대화</v>
      </c>
      <c r="G17" s="1" t="str">
        <f>IF(MONTH(G$16)&lt;&gt;MONTH(DATE($G$2,$H$2,1)),"",INDEX(조편성!$D14:$AH14,MATCH(G$16,조편성!$D$13:$AH$13,0)))</f>
        <v>김대화</v>
      </c>
      <c r="H17" s="1" t="str">
        <f>IF(MONTH(H$16)&lt;&gt;MONTH(DATE($G$2,$H$2,1)),"",INDEX(조편성!$D14:$AH14,MATCH(H$16,조편성!$D$13:$AH$13,0)))</f>
        <v>장영대김대화</v>
      </c>
    </row>
    <row r="18" spans="1:43" s="4" customFormat="1" ht="16.2" customHeight="1" x14ac:dyDescent="0.25">
      <c r="A18" s="1"/>
      <c r="B18" s="1" t="str">
        <f>IF(MONTH(B$16)&lt;&gt;MONTH(DATE($G$2,$H$2,1)),"",INDEX(조편성!$D15:$AH15,MATCH(B$16,조편성!$D$13:$AH$13,0)))</f>
        <v/>
      </c>
      <c r="C18" s="1" t="str">
        <f>IF(MONTH(C$16)&lt;&gt;MONTH(DATE($G$2,$H$2,1)),"",INDEX(조편성!$D15:$AH15,MATCH(C$16,조편성!$D$13:$AH$13,0)))</f>
        <v>안성용</v>
      </c>
      <c r="D18" s="1" t="str">
        <f>IF(MONTH(D$16)&lt;&gt;MONTH(DATE($G$2,$H$2,1)),"",INDEX(조편성!$D15:$AH15,MATCH(D$16,조편성!$D$13:$AH$13,0)))</f>
        <v>안성용</v>
      </c>
      <c r="E18" s="1" t="str">
        <f>IF(MONTH(E$16)&lt;&gt;MONTH(DATE($G$2,$H$2,1)),"",INDEX(조편성!$D15:$AH15,MATCH(E$16,조편성!$D$13:$AH$13,0)))</f>
        <v>안성용</v>
      </c>
      <c r="F18" s="1" t="str">
        <f>IF(MONTH(F$16)&lt;&gt;MONTH(DATE($G$2,$H$2,1)),"",INDEX(조편성!$D15:$AH15,MATCH(F$16,조편성!$D$13:$AH$13,0)))</f>
        <v>안성용</v>
      </c>
      <c r="G18" s="1" t="str">
        <f>IF(MONTH(G$16)&lt;&gt;MONTH(DATE($G$2,$H$2,1)),"",INDEX(조편성!$D15:$AH15,MATCH(G$16,조편성!$D$13:$AH$13,0)))</f>
        <v>안성용</v>
      </c>
      <c r="H18" s="1" t="str">
        <f>IF(MONTH(H$16)&lt;&gt;MONTH(DATE($G$2,$H$2,1)),"",INDEX(조편성!$D15:$AH15,MATCH(H$16,조편성!$D$13:$AH$13,0)))</f>
        <v/>
      </c>
      <c r="I18" s="7"/>
    </row>
    <row r="19" spans="1:43" s="7" customFormat="1" ht="16.2" customHeight="1" x14ac:dyDescent="0.25">
      <c r="A19" s="1" t="s">
        <v>27</v>
      </c>
      <c r="B19" s="1" t="str">
        <f>IF(MONTH(B$16)&lt;&gt;MONTH(DATE($G$2,$H$2,1)),"",INDEX(조편성!$D16:$AH16,MATCH(B$16,조편성!$D$13:$AH$13,0)))</f>
        <v>김제원</v>
      </c>
      <c r="C19" s="1" t="str">
        <f>IF(MONTH(C$16)&lt;&gt;MONTH(DATE($G$2,$H$2,1)),"",INDEX(조편성!$D16:$AH16,MATCH(C$16,조편성!$D$13:$AH$13,0)))</f>
        <v>김제원</v>
      </c>
      <c r="D19" s="1" t="str">
        <f>IF(MONTH(D$16)&lt;&gt;MONTH(DATE($G$2,$H$2,1)),"",INDEX(조편성!$D16:$AH16,MATCH(D$16,조편성!$D$13:$AH$13,0)))</f>
        <v>오광웅김제원</v>
      </c>
      <c r="E19" s="1" t="str">
        <f>IF(MONTH(E$16)&lt;&gt;MONTH(DATE($G$2,$H$2,1)),"",INDEX(조편성!$D16:$AH16,MATCH(E$16,조편성!$D$13:$AH$13,0)))</f>
        <v>오광웅김제원</v>
      </c>
      <c r="F19" s="1" t="str">
        <f>IF(MONTH(F$16)&lt;&gt;MONTH(DATE($G$2,$H$2,1)),"",INDEX(조편성!$D16:$AH16,MATCH(F$16,조편성!$D$13:$AH$13,0)))</f>
        <v>오광웅</v>
      </c>
      <c r="G19" s="1" t="str">
        <f>IF(MONTH(G$16)&lt;&gt;MONTH(DATE($G$2,$H$2,1)),"",INDEX(조편성!$D16:$AH16,MATCH(G$16,조편성!$D$13:$AH$13,0)))</f>
        <v>오광웅</v>
      </c>
      <c r="H19" s="1" t="str">
        <f>IF(MONTH(H$16)&lt;&gt;MONTH(DATE($G$2,$H$2,1)),"",INDEX(조편성!$D16:$AH16,MATCH(H$16,조편성!$D$13:$AH$13,0)))</f>
        <v/>
      </c>
    </row>
    <row r="20" spans="1:43" s="4" customFormat="1" ht="16.2" customHeight="1" x14ac:dyDescent="0.25">
      <c r="A20" s="1"/>
      <c r="B20" s="1" t="str">
        <f>IF(MONTH(B$16)&lt;&gt;MONTH(DATE($G$2,$H$2,1)),"",INDEX(조편성!$D17:$AH17,MATCH(B$16,조편성!$D$13:$AH$13,0)))</f>
        <v>위선옥</v>
      </c>
      <c r="C20" s="1" t="str">
        <f>IF(MONTH(C$16)&lt;&gt;MONTH(DATE($G$2,$H$2,1)),"",INDEX(조편성!$D17:$AH17,MATCH(C$16,조편성!$D$13:$AH$13,0)))</f>
        <v/>
      </c>
      <c r="D20" s="1" t="str">
        <f>IF(MONTH(D$16)&lt;&gt;MONTH(DATE($G$2,$H$2,1)),"",INDEX(조편성!$D17:$AH17,MATCH(D$16,조편성!$D$13:$AH$13,0)))</f>
        <v/>
      </c>
      <c r="E20" s="1" t="str">
        <f>IF(MONTH(E$16)&lt;&gt;MONTH(DATE($G$2,$H$2,1)),"",INDEX(조편성!$D17:$AH17,MATCH(E$16,조편성!$D$13:$AH$13,0)))</f>
        <v/>
      </c>
      <c r="F20" s="1" t="str">
        <f>IF(MONTH(F$16)&lt;&gt;MONTH(DATE($G$2,$H$2,1)),"",INDEX(조편성!$D17:$AH17,MATCH(F$16,조편성!$D$13:$AH$13,0)))</f>
        <v/>
      </c>
      <c r="G20" s="1" t="str">
        <f>IF(MONTH(G$16)&lt;&gt;MONTH(DATE($G$2,$H$2,1)),"",INDEX(조편성!$D17:$AH17,MATCH(G$16,조편성!$D$13:$AH$13,0)))</f>
        <v/>
      </c>
      <c r="H20" s="1" t="str">
        <f>IF(MONTH(H$16)&lt;&gt;MONTH(DATE($G$2,$H$2,1)),"",INDEX(조편성!$D17:$AH17,MATCH(H$16,조편성!$D$13:$AH$13,0)))</f>
        <v/>
      </c>
      <c r="I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s="7" customFormat="1" ht="16.2" customHeight="1" x14ac:dyDescent="0.25">
      <c r="A21" s="1" t="s">
        <v>25</v>
      </c>
      <c r="B21" s="1" t="str">
        <f>IF(MONTH(B$16)&lt;&gt;MONTH(DATE($G$2,$H$2,1)),"",INDEX(조편성!$D20:$AH20,MATCH(B$16,조편성!$D$13:$AH$13,0)))</f>
        <v>신대진</v>
      </c>
      <c r="C21" s="1" t="str">
        <f>IF(MONTH(C$16)&lt;&gt;MONTH(DATE($G$2,$H$2,1)),"",INDEX(조편성!$D20:$AH20,MATCH(C$16,조편성!$D$13:$AH$13,0)))</f>
        <v>한영희</v>
      </c>
      <c r="D21" s="1" t="str">
        <f>IF(MONTH(D$16)&lt;&gt;MONTH(DATE($G$2,$H$2,1)),"",INDEX(조편성!$D20:$AH20,MATCH(D$16,조편성!$D$13:$AH$13,0)))</f>
        <v>한영희</v>
      </c>
      <c r="E21" s="1" t="str">
        <f>IF(MONTH(E$16)&lt;&gt;MONTH(DATE($G$2,$H$2,1)),"",INDEX(조편성!$D20:$AH20,MATCH(E$16,조편성!$D$13:$AH$13,0)))</f>
        <v>신대진</v>
      </c>
      <c r="F21" s="1" t="str">
        <f>IF(MONTH(F$16)&lt;&gt;MONTH(DATE($G$2,$H$2,1)),"",INDEX(조편성!$D20:$AH20,MATCH(F$16,조편성!$D$13:$AH$13,0)))</f>
        <v>김제원</v>
      </c>
      <c r="G21" s="1" t="str">
        <f>IF(MONTH(G$16)&lt;&gt;MONTH(DATE($G$2,$H$2,1)),"",INDEX(조편성!$D20:$AH20,MATCH(G$16,조편성!$D$13:$AH$13,0)))</f>
        <v>신대진</v>
      </c>
      <c r="H21" s="1" t="str">
        <f>IF(MONTH(H$16)&lt;&gt;MONTH(DATE($G$2,$H$2,1)),"",INDEX(조편성!$D20:$AH20,MATCH(H$16,조편성!$D$13:$AH$13,0)))</f>
        <v>오광웅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</row>
    <row r="22" spans="1:43" s="7" customFormat="1" ht="16.2" customHeight="1" x14ac:dyDescent="0.25">
      <c r="A22" s="1" t="s">
        <v>3</v>
      </c>
      <c r="B22" s="12">
        <f>B16+7</f>
        <v>45732</v>
      </c>
      <c r="C22" s="12">
        <f t="shared" ref="C22:H22" si="3">B22+1</f>
        <v>45733</v>
      </c>
      <c r="D22" s="12">
        <f t="shared" si="3"/>
        <v>45734</v>
      </c>
      <c r="E22" s="12">
        <f t="shared" si="3"/>
        <v>45735</v>
      </c>
      <c r="F22" s="12">
        <f t="shared" si="3"/>
        <v>45736</v>
      </c>
      <c r="G22" s="12">
        <f t="shared" si="3"/>
        <v>45737</v>
      </c>
      <c r="H22" s="12">
        <f t="shared" si="3"/>
        <v>45738</v>
      </c>
      <c r="K22" s="35"/>
    </row>
    <row r="23" spans="1:43" s="7" customFormat="1" ht="16.2" customHeight="1" x14ac:dyDescent="0.25">
      <c r="A23" s="1" t="s">
        <v>29</v>
      </c>
      <c r="B23" s="1" t="str">
        <f>IF(MONTH(B$22)&lt;&gt;MONTH(DATE($G$2,$H$2,1)),"",INDEX(조편성!$D14:$AH14,MATCH(B$22,조편성!$D$13:$AH$13,0)))</f>
        <v>장영대김대화</v>
      </c>
      <c r="C23" s="1" t="str">
        <f>IF(MONTH(C$22)&lt;&gt;MONTH(DATE($G$2,$H$2,1)),"",INDEX(조편성!$D14:$AH14,MATCH(C$22,조편성!$D$13:$AH$13,0)))</f>
        <v>장영대</v>
      </c>
      <c r="D23" s="1" t="str">
        <f>IF(MONTH(D$22)&lt;&gt;MONTH(DATE($G$2,$H$2,1)),"",INDEX(조편성!$D14:$AH14,MATCH(D$22,조편성!$D$13:$AH$13,0)))</f>
        <v>장영대</v>
      </c>
      <c r="E23" s="1" t="str">
        <f>IF(MONTH(E$22)&lt;&gt;MONTH(DATE($G$2,$H$2,1)),"",INDEX(조편성!$D14:$AH14,MATCH(E$22,조편성!$D$13:$AH$13,0)))</f>
        <v>김대화</v>
      </c>
      <c r="F23" s="1" t="str">
        <f>IF(MONTH(F$22)&lt;&gt;MONTH(DATE($G$2,$H$2,1)),"",INDEX(조편성!$D14:$AH14,MATCH(F$22,조편성!$D$13:$AH$13,0)))</f>
        <v>김대화</v>
      </c>
      <c r="G23" s="1" t="str">
        <f>IF(MONTH(G$22)&lt;&gt;MONTH(DATE($G$2,$H$2,1)),"",INDEX(조편성!$D14:$AH14,MATCH(G$22,조편성!$D$13:$AH$13,0)))</f>
        <v>김대화</v>
      </c>
      <c r="H23" s="1" t="str">
        <f>IF(MONTH(H$22)&lt;&gt;MONTH(DATE($G$2,$H$2,1)),"",INDEX(조편성!$D14:$AH14,MATCH(H$22,조편성!$D$13:$AH$13,0)))</f>
        <v>장영대김대화</v>
      </c>
      <c r="K23" s="35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</row>
    <row r="24" spans="1:43" s="4" customFormat="1" ht="16.2" customHeight="1" x14ac:dyDescent="0.25">
      <c r="A24" s="1"/>
      <c r="B24" s="1" t="str">
        <f>IF(MONTH(B$22)&lt;&gt;MONTH(DATE($G$2,$H$2,1)),"",INDEX(조편성!$D15:$AH$15,MATCH(B$22,조편성!$D$13:$AH$13,0)))</f>
        <v/>
      </c>
      <c r="C24" s="1" t="str">
        <f>IF(MONTH(C$22)&lt;&gt;MONTH(DATE($G$2,$H$2,1)),"",INDEX(조편성!$D15:$AH$15,MATCH(C$22,조편성!$D$13:$AH$13,0)))</f>
        <v>안성용</v>
      </c>
      <c r="D24" s="1" t="str">
        <f>IF(MONTH(D$22)&lt;&gt;MONTH(DATE($G$2,$H$2,1)),"",INDEX(조편성!$D15:$AH$15,MATCH(D$22,조편성!$D$13:$AH$13,0)))</f>
        <v>안성용</v>
      </c>
      <c r="E24" s="1" t="str">
        <f>IF(MONTH(E$22)&lt;&gt;MONTH(DATE($G$2,$H$2,1)),"",INDEX(조편성!$D15:$AH$15,MATCH(E$22,조편성!$D$13:$AH$13,0)))</f>
        <v>안성용</v>
      </c>
      <c r="F24" s="1" t="str">
        <f>IF(MONTH(F$22)&lt;&gt;MONTH(DATE($G$2,$H$2,1)),"",INDEX(조편성!$D15:$AH$15,MATCH(F$22,조편성!$D$13:$AH$13,0)))</f>
        <v>안성용</v>
      </c>
      <c r="G24" s="1" t="str">
        <f>IF(MONTH(G$22)&lt;&gt;MONTH(DATE($G$2,$H$2,1)),"",INDEX(조편성!$D15:$AH$15,MATCH(G$22,조편성!$D$13:$AH$13,0)))</f>
        <v>안성용</v>
      </c>
      <c r="H24" s="1" t="str">
        <f>IF(MONTH(H$22)&lt;&gt;MONTH(DATE($G$2,$H$2,1)),"",INDEX(조편성!$D15:$AH$15,MATCH(H$22,조편성!$D$13:$AH$13,0)))</f>
        <v/>
      </c>
      <c r="I24" s="7"/>
      <c r="K24" s="36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s="7" customFormat="1" ht="16.2" customHeight="1" x14ac:dyDescent="0.25">
      <c r="A25" s="1" t="s">
        <v>27</v>
      </c>
      <c r="B25" s="1" t="str">
        <f>IF(MONTH(B$22)&lt;&gt;MONTH(DATE($G$2,$H$2,1)),"",INDEX(조편성!$D16:$AH16,MATCH(B$22,조편성!$D$13:$AH$13,0)))</f>
        <v/>
      </c>
      <c r="C25" s="1" t="str">
        <f>IF(MONTH(C$22)&lt;&gt;MONTH(DATE($G$2,$H$2,1)),"",INDEX(조편성!$D16:$AH16,MATCH(C$22,조편성!$D$13:$AH$13,0)))</f>
        <v>오광웅김제원</v>
      </c>
      <c r="D25" s="1" t="str">
        <f>IF(MONTH(D$22)&lt;&gt;MONTH(DATE($G$2,$H$2,1)),"",INDEX(조편성!$D16:$AH16,MATCH(D$22,조편성!$D$13:$AH$13,0)))</f>
        <v>김제원</v>
      </c>
      <c r="E25" s="1" t="str">
        <f>IF(MONTH(E$22)&lt;&gt;MONTH(DATE($G$2,$H$2,1)),"",INDEX(조편성!$D16:$AH16,MATCH(E$22,조편성!$D$13:$AH$13,0)))</f>
        <v>김제원</v>
      </c>
      <c r="F25" s="1" t="str">
        <f>IF(MONTH(F$22)&lt;&gt;MONTH(DATE($G$2,$H$2,1)),"",INDEX(조편성!$D16:$AH16,MATCH(F$22,조편성!$D$13:$AH$13,0)))</f>
        <v>오광웅</v>
      </c>
      <c r="G25" s="1" t="str">
        <f>IF(MONTH(G$22)&lt;&gt;MONTH(DATE($G$2,$H$2,1)),"",INDEX(조편성!$D16:$AH16,MATCH(G$22,조편성!$D$13:$AH$13,0)))</f>
        <v>오광웅</v>
      </c>
      <c r="H25" s="1" t="str">
        <f>IF(MONTH(H$22)&lt;&gt;MONTH(DATE($G$2,$H$2,1)),"",INDEX(조편성!$D16:$AH16,MATCH(H$22,조편성!$D$13:$AH$13,0)))</f>
        <v/>
      </c>
      <c r="K25" s="36"/>
    </row>
    <row r="26" spans="1:43" s="4" customFormat="1" ht="16.2" customHeight="1" x14ac:dyDescent="0.25">
      <c r="A26" s="1"/>
      <c r="B26" s="1" t="str">
        <f>IF(MONTH($B$22)&lt;&gt;MONTH(DATE($G$2,$H$2,1)),"",INDEX(조편성!$D17:$AH17,MATCH(B$22,조편성!$D$13:$AH$13,0)))</f>
        <v/>
      </c>
      <c r="C26" s="1" t="str">
        <f>IF(MONTH($B$22)&lt;&gt;MONTH(DATE($G$2,$H$2,1)),"",INDEX(조편성!$D17:$AH17,MATCH(C$22,조편성!$D$13:$AH$13,0)))</f>
        <v/>
      </c>
      <c r="D26" s="1" t="str">
        <f>IF(MONTH($B$22)&lt;&gt;MONTH(DATE($G$2,$H$2,1)),"",INDEX(조편성!$D17:$AH17,MATCH(D$22,조편성!$D$13:$AH$13,0)))</f>
        <v>오광웅(4)</v>
      </c>
      <c r="E26" s="1" t="str">
        <f>IF(MONTH($B$22)&lt;&gt;MONTH(DATE($G$2,$H$2,1)),"",INDEX(조편성!$D17:$AH17,MATCH(E$22,조편성!$D$13:$AH$13,0)))</f>
        <v/>
      </c>
      <c r="F26" s="1" t="str">
        <f>IF(MONTH($B$22)&lt;&gt;MONTH(DATE($G$2,$H$2,1)),"",INDEX(조편성!$D17:$AH17,MATCH(F$22,조편성!$D$13:$AH$13,0)))</f>
        <v/>
      </c>
      <c r="G26" s="1" t="str">
        <f>IF(MONTH($B$22)&lt;&gt;MONTH(DATE($G$2,$H$2,1)),"",INDEX(조편성!$D17:$AH17,MATCH(G$22,조편성!$D$13:$AH$13,0)))</f>
        <v/>
      </c>
      <c r="H26" s="1" t="str">
        <f>IF(MONTH($B$22)&lt;&gt;MONTH(DATE($G$2,$H$2,1)),"",INDEX(조편성!$D17:$AH17,MATCH(H$22,조편성!$D$13:$AH$13,0)))</f>
        <v/>
      </c>
      <c r="I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s="7" customFormat="1" ht="16.2" customHeight="1" x14ac:dyDescent="0.25">
      <c r="A27" s="1" t="s">
        <v>25</v>
      </c>
      <c r="B27" s="1" t="str">
        <f>IF(MONTH(B$22)&lt;&gt;MONTH(DATE($G$2,$H$2,1)),"",INDEX(조편성!$D20:$AH20,MATCH(B$22,조편성!$D$13:$AH$13,0)))</f>
        <v>한영희신대진(4)</v>
      </c>
      <c r="C27" s="1" t="str">
        <f>IF(MONTH(C$22)&lt;&gt;MONTH(DATE($G$2,$H$2,1)),"",INDEX(조편성!$D20:$AH20,MATCH(C$22,조편성!$D$13:$AH$13,0)))</f>
        <v>한영희</v>
      </c>
      <c r="D27" s="1" t="str">
        <f>IF(MONTH(D$22)&lt;&gt;MONTH(DATE($G$2,$H$2,1)),"",INDEX(조편성!$D20:$AH20,MATCH(D$22,조편성!$D$13:$AH$13,0)))</f>
        <v>신대진한영희(4)</v>
      </c>
      <c r="E27" s="1" t="str">
        <f>IF(MONTH(E$22)&lt;&gt;MONTH(DATE($G$2,$H$2,1)),"",INDEX(조편성!$D20:$AH20,MATCH(E$22,조편성!$D$13:$AH$13,0)))</f>
        <v>신대진</v>
      </c>
      <c r="F27" s="1" t="str">
        <f>IF(MONTH(F$22)&lt;&gt;MONTH(DATE($G$2,$H$2,1)),"",INDEX(조편성!$D20:$AH20,MATCH(F$22,조편성!$D$13:$AH$13,0)))</f>
        <v>한영희</v>
      </c>
      <c r="G27" s="1" t="str">
        <f>IF(MONTH(G$22)&lt;&gt;MONTH(DATE($G$2,$H$2,1)),"",INDEX(조편성!$D20:$AH20,MATCH(G$22,조편성!$D$13:$AH$13,0)))</f>
        <v>한영희</v>
      </c>
      <c r="H27" s="1" t="str">
        <f>IF(MONTH(H$22)&lt;&gt;MONTH(DATE($G$2,$H$2,1)),"",INDEX(조편성!$D20:$AH20,MATCH(H$22,조편성!$D$13:$AH$13,0)))</f>
        <v>오광웅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</row>
    <row r="28" spans="1:43" s="7" customFormat="1" ht="16.2" customHeight="1" x14ac:dyDescent="0.25">
      <c r="A28" s="1" t="s">
        <v>3</v>
      </c>
      <c r="B28" s="12">
        <f>B22+7</f>
        <v>45739</v>
      </c>
      <c r="C28" s="12">
        <f t="shared" ref="C28:H28" si="4">B28+1</f>
        <v>45740</v>
      </c>
      <c r="D28" s="12">
        <f t="shared" si="4"/>
        <v>45741</v>
      </c>
      <c r="E28" s="12">
        <f t="shared" si="4"/>
        <v>45742</v>
      </c>
      <c r="F28" s="12">
        <f t="shared" si="4"/>
        <v>45743</v>
      </c>
      <c r="G28" s="12">
        <f t="shared" si="4"/>
        <v>45744</v>
      </c>
      <c r="H28" s="12">
        <f t="shared" si="4"/>
        <v>45745</v>
      </c>
    </row>
    <row r="29" spans="1:43" s="7" customFormat="1" ht="16.2" customHeight="1" x14ac:dyDescent="0.25">
      <c r="A29" s="1" t="s">
        <v>29</v>
      </c>
      <c r="B29" s="1" t="str">
        <f>IF(MONTH(B$28)&lt;&gt;MONTH(DATE($G$2,$H$2,1)),"",INDEX(조편성!$D$14:$AH$14,MATCH(B$28,조편성!$D$13:$AH$13,0)))</f>
        <v>장영대김대화</v>
      </c>
      <c r="C29" s="1" t="str">
        <f>IF(MONTH(C$28)&lt;&gt;MONTH(DATE($G$2,$H$2,1)),"",INDEX(조편성!$D$14:$AH$14,MATCH(C$28,조편성!$D$13:$AH$13,0)))</f>
        <v>장영대</v>
      </c>
      <c r="D29" s="1" t="str">
        <f>IF(MONTH(D$28)&lt;&gt;MONTH(DATE($G$2,$H$2,1)),"",INDEX(조편성!$D$14:$AH$14,MATCH(D$28,조편성!$D$13:$AH$13,0)))</f>
        <v>장영대</v>
      </c>
      <c r="E29" s="1" t="str">
        <f>IF(MONTH(E$28)&lt;&gt;MONTH(DATE($G$2,$H$2,1)),"",INDEX(조편성!$D$14:$AH$14,MATCH(E$28,조편성!$D$13:$AH$13,0)))</f>
        <v>장영대김대화</v>
      </c>
      <c r="F29" s="1" t="str">
        <f>IF(MONTH(F$28)&lt;&gt;MONTH(DATE($G$2,$H$2,1)),"",INDEX(조편성!$D$14:$AH$14,MATCH(F$28,조편성!$D$13:$AH$13,0)))</f>
        <v>김대화</v>
      </c>
      <c r="G29" s="1" t="str">
        <f>IF(MONTH(G$28)&lt;&gt;MONTH(DATE($G$2,$H$2,1)),"",INDEX(조편성!$D$14:$AH$14,MATCH(G$28,조편성!$D$13:$AH$13,0)))</f>
        <v>김대화</v>
      </c>
      <c r="H29" s="1" t="str">
        <f>IF(MONTH(H$28)&lt;&gt;MONTH(DATE($G$2,$H$2,1)),"",INDEX(조편성!$D$14:$AH$14,MATCH(H$28,조편성!$D$13:$AH$13,0)))</f>
        <v>장영대김대화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</row>
    <row r="30" spans="1:43" s="4" customFormat="1" ht="16.2" customHeight="1" x14ac:dyDescent="0.25">
      <c r="A30" s="1"/>
      <c r="B30" s="1" t="str">
        <f>IF(MONTH(B$28)&lt;&gt;MONTH(DATE($G$2,$H$2,1)),"",INDEX(조편성!$D$15:$AH$15,MATCH(B$28,조편성!$D$13:$AH$13,0)))</f>
        <v/>
      </c>
      <c r="C30" s="1" t="str">
        <f>IF(MONTH(C$28)&lt;&gt;MONTH(DATE($G$2,$H$2,1)),"",INDEX(조편성!$D$15:$AH$15,MATCH(C$28,조편성!$D$13:$AH$13,0)))</f>
        <v>안성용</v>
      </c>
      <c r="D30" s="1" t="str">
        <f>IF(MONTH(D$28)&lt;&gt;MONTH(DATE($G$2,$H$2,1)),"",INDEX(조편성!$D$15:$AH$15,MATCH(D$28,조편성!$D$13:$AH$13,0)))</f>
        <v>안성용</v>
      </c>
      <c r="E30" s="1" t="str">
        <f>IF(MONTH(E$28)&lt;&gt;MONTH(DATE($G$2,$H$2,1)),"",INDEX(조편성!$D$15:$AH$15,MATCH(E$28,조편성!$D$13:$AH$13,0)))</f>
        <v>안성용</v>
      </c>
      <c r="F30" s="1" t="str">
        <f>IF(MONTH(F$28)&lt;&gt;MONTH(DATE($G$2,$H$2,1)),"",INDEX(조편성!$D$15:$AH$15,MATCH(F$28,조편성!$D$13:$AH$13,0)))</f>
        <v>안성용</v>
      </c>
      <c r="G30" s="1" t="str">
        <f>IF(MONTH(G$28)&lt;&gt;MONTH(DATE($G$2,$H$2,1)),"",INDEX(조편성!$D$15:$AH$15,MATCH(G$28,조편성!$D$13:$AH$13,0)))</f>
        <v>안성용</v>
      </c>
      <c r="H30" s="1" t="str">
        <f>IF(MONTH(H$28)&lt;&gt;MONTH(DATE($G$2,$H$2,1)),"",INDEX(조편성!$D$15:$AH$15,MATCH(H$28,조편성!$D$13:$AH$13,0)))</f>
        <v/>
      </c>
      <c r="I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s="7" customFormat="1" ht="16.2" customHeight="1" x14ac:dyDescent="0.25">
      <c r="A31" s="1" t="s">
        <v>27</v>
      </c>
      <c r="B31" s="1" t="str">
        <f>IF(MONTH(B$28)&lt;&gt;MONTH(DATE($G$2,$H$2,1)),"",INDEX(조편성!$D$16:$AH$16,MATCH(B$28,조편성!$D$13:$AH$13,0)))</f>
        <v>김제원</v>
      </c>
      <c r="C31" s="1" t="str">
        <f>IF(MONTH(C$28)&lt;&gt;MONTH(DATE($G$2,$H$2,1)),"",INDEX(조편성!$D$16:$AH$16,MATCH(C$28,조편성!$D$13:$AH$13,0)))</f>
        <v>김제원</v>
      </c>
      <c r="D31" s="1" t="str">
        <f>IF(MONTH(D$28)&lt;&gt;MONTH(DATE($G$2,$H$2,1)),"",INDEX(조편성!$D$16:$AH$16,MATCH(D$28,조편성!$D$13:$AH$13,0)))</f>
        <v>오광웅김제원</v>
      </c>
      <c r="E31" s="1" t="str">
        <f>IF(MONTH(E$28)&lt;&gt;MONTH(DATE($G$2,$H$2,1)),"",INDEX(조편성!$D$16:$AH$16,MATCH(E$28,조편성!$D$13:$AH$13,0)))</f>
        <v>오광웅김제원</v>
      </c>
      <c r="F31" s="1" t="str">
        <f>IF(MONTH(F$28)&lt;&gt;MONTH(DATE($G$2,$H$2,1)),"",INDEX(조편성!$D$16:$AH$16,MATCH(F$28,조편성!$D$13:$AH$13,0)))</f>
        <v>오광웅</v>
      </c>
      <c r="G31" s="1" t="str">
        <f>IF(MONTH(G$28)&lt;&gt;MONTH(DATE($G$2,$H$2,1)),"",INDEX(조편성!$D$16:$AH$16,MATCH(G$28,조편성!$D$13:$AH$13,0)))</f>
        <v>오광웅</v>
      </c>
      <c r="H31" s="1" t="str">
        <f>IF(MONTH(H$28)&lt;&gt;MONTH(DATE($G$2,$H$2,1)),"",INDEX(조편성!$D$16:$AH$16,MATCH(H$28,조편성!$D$13:$AH$13,0)))</f>
        <v/>
      </c>
    </row>
    <row r="32" spans="1:43" s="4" customFormat="1" ht="16.2" customHeight="1" x14ac:dyDescent="0.25">
      <c r="A32" s="1"/>
      <c r="B32" s="1" t="str">
        <f>IF(MONTH(B$28)&lt;&gt;MONTH(DATE($G$2,$H$2,1)),"",INDEX(조편성!$D$17:$AH$17,MATCH(B$28,조편성!$D$13:$AH$13,0)))</f>
        <v/>
      </c>
      <c r="C32" s="1" t="str">
        <f>IF(MONTH(C$28)&lt;&gt;MONTH(DATE($G$2,$H$2,1)),"",INDEX(조편성!$D$17:$AH$17,MATCH(C$28,조편성!$D$13:$AH$13,0)))</f>
        <v/>
      </c>
      <c r="D32" s="1" t="str">
        <f>IF(MONTH(D$28)&lt;&gt;MONTH(DATE($G$2,$H$2,1)),"",INDEX(조편성!$D$17:$AH$17,MATCH(D$28,조편성!$D$13:$AH$13,0)))</f>
        <v/>
      </c>
      <c r="E32" s="1" t="str">
        <f>IF(MONTH(E$28)&lt;&gt;MONTH(DATE($G$2,$H$2,1)),"",INDEX(조편성!$D$17:$AH$17,MATCH(E$28,조편성!$D$13:$AH$13,0)))</f>
        <v/>
      </c>
      <c r="F32" s="1" t="str">
        <f>IF(MONTH(F$28)&lt;&gt;MONTH(DATE($G$2,$H$2,1)),"",INDEX(조편성!$D$17:$AH$17,MATCH(F$28,조편성!$D$13:$AH$13,0)))</f>
        <v/>
      </c>
      <c r="G32" s="1" t="str">
        <f>IF(MONTH(G$28)&lt;&gt;MONTH(DATE($G$2,$H$2,1)),"",INDEX(조편성!$D$17:$AH$17,MATCH(G$28,조편성!$D$13:$AH$13,0)))</f>
        <v/>
      </c>
      <c r="H32" s="1" t="str">
        <f>IF(MONTH(H$28)&lt;&gt;MONTH(DATE($G$2,$H$2,1)),"",INDEX(조편성!$D$17:$AH$17,MATCH(H$28,조편성!$D$13:$AH$13,0)))</f>
        <v/>
      </c>
      <c r="I32" s="7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s="7" customFormat="1" ht="16.2" customHeight="1" x14ac:dyDescent="0.25">
      <c r="A33" s="1" t="s">
        <v>25</v>
      </c>
      <c r="B33" s="1" t="str">
        <f>IF(MONTH(B$28)&lt;&gt;MONTH(DATE($G$2,$H$2,1)),"",INDEX(조편성!$D20:$AH20,MATCH(B$28,조편성!$D$13:$AH$13,0)))</f>
        <v>신대진</v>
      </c>
      <c r="C33" s="1" t="str">
        <f>IF(MONTH(C$28)&lt;&gt;MONTH(DATE($G$2,$H$2,1)),"",INDEX(조편성!$D20:$AH20,MATCH(C$28,조편성!$D$13:$AH$13,0)))</f>
        <v>신대진</v>
      </c>
      <c r="D33" s="1" t="str">
        <f>IF(MONTH(D$28)&lt;&gt;MONTH(DATE($G$2,$H$2,1)),"",INDEX(조편성!$D20:$AH20,MATCH(D$28,조편성!$D$13:$AH$13,0)))</f>
        <v>한영희</v>
      </c>
      <c r="E33" s="1" t="str">
        <f>IF(MONTH(E$28)&lt;&gt;MONTH(DATE($G$2,$H$2,1)),"",INDEX(조편성!$D20:$AH20,MATCH(E$28,조편성!$D$13:$AH$13,0)))</f>
        <v>한영희</v>
      </c>
      <c r="F33" s="1" t="str">
        <f>IF(MONTH(F$28)&lt;&gt;MONTH(DATE($G$2,$H$2,1)),"",INDEX(조편성!$D20:$AH20,MATCH(F$28,조편성!$D$13:$AH$13,0)))</f>
        <v>김제원</v>
      </c>
      <c r="G33" s="1" t="str">
        <f>IF(MONTH(G$28)&lt;&gt;MONTH(DATE($G$2,$H$2,1)),"",INDEX(조편성!$D20:$AH20,MATCH(G$28,조편성!$D$13:$AH$13,0)))</f>
        <v>신대진</v>
      </c>
      <c r="H33" s="1" t="str">
        <f>IF(MONTH(H$28)&lt;&gt;MONTH(DATE($G$2,$H$2,1)),"",INDEX(조편성!$D20:$AH20,MATCH(H$28,조편성!$D$13:$AH$13,0)))</f>
        <v>신대진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s="7" customFormat="1" ht="16.2" customHeight="1" x14ac:dyDescent="0.25">
      <c r="A34" s="1" t="s">
        <v>3</v>
      </c>
      <c r="B34" s="12">
        <f>B28+7</f>
        <v>45746</v>
      </c>
      <c r="C34" s="12">
        <f t="shared" ref="C34:H34" si="5">B34+1</f>
        <v>45747</v>
      </c>
      <c r="D34" s="12">
        <f t="shared" si="5"/>
        <v>45748</v>
      </c>
      <c r="E34" s="12">
        <f t="shared" si="5"/>
        <v>45749</v>
      </c>
      <c r="F34" s="12">
        <f t="shared" si="5"/>
        <v>45750</v>
      </c>
      <c r="G34" s="12">
        <f t="shared" si="5"/>
        <v>45751</v>
      </c>
      <c r="H34" s="12">
        <f t="shared" si="5"/>
        <v>45752</v>
      </c>
    </row>
    <row r="35" spans="1:43" s="7" customFormat="1" ht="16.2" customHeight="1" x14ac:dyDescent="0.25">
      <c r="A35" s="1" t="s">
        <v>29</v>
      </c>
      <c r="B35" s="1" t="str">
        <f>IF(MONTH(B$34)&lt;&gt;MONTH(DATE($G$2,$H$2,1)),"",INDEX(조편성!$D$14:$AH$14,MATCH(B$34,조편성!$D$13:$AH$13,0)))</f>
        <v>장영대김대화</v>
      </c>
      <c r="C35" s="1" t="str">
        <f>IF(MONTH(C$34)&lt;&gt;MONTH(DATE($G$2,$H$2,1)),"",INDEX(조편성!$D$14:$AH$14,MATCH(C$34,조편성!$D$13:$AH$13,0)))</f>
        <v>장영대</v>
      </c>
      <c r="D35" s="1" t="str">
        <f>IF(MONTH(D$34)&lt;&gt;MONTH(DATE($G$2,$H$2,1)),"",INDEX(조편성!$D$14:$AH$14,MATCH(D$34,조편성!$D$13:$AH$13,0)))</f>
        <v/>
      </c>
      <c r="E35" s="1" t="str">
        <f>IF(MONTH(E$34)&lt;&gt;MONTH(DATE($G$2,$H$2,1)),"",INDEX(조편성!$D$14:$AH$14,MATCH(E$34,조편성!$D$13:$AH$13,0)))</f>
        <v/>
      </c>
      <c r="F35" s="1" t="str">
        <f>IF(MONTH(F$34)&lt;&gt;MONTH(DATE($G$2,$H$2,1)),"",INDEX(조편성!$D$14:$AH$14,MATCH(F$34,조편성!$D$13:$AH$13,0)))</f>
        <v/>
      </c>
      <c r="G35" s="1" t="str">
        <f>IF(MONTH(G$34)&lt;&gt;MONTH(DATE($G$2,$H$2,1)),"",INDEX(조편성!$D$14:$AH$14,MATCH(G$34,조편성!$D$13:$AH$13,0)))</f>
        <v/>
      </c>
      <c r="H35" s="1" t="str">
        <f>IF(MONTH(H$34)&lt;&gt;MONTH(DATE($G$2,$H$2,1)),"",INDEX(조편성!$D$14:$AH$14,MATCH(H$34,조편성!$D$13:$AH$13,0)))</f>
        <v/>
      </c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</row>
    <row r="36" spans="1:43" s="4" customFormat="1" ht="16.2" customHeight="1" x14ac:dyDescent="0.25">
      <c r="A36" s="1"/>
      <c r="B36" s="1" t="str">
        <f>IF(MONTH(B$34)&lt;&gt;MONTH(DATE($G$2,$H$2,1)),"",INDEX(조편성!$D$15:$AH$15,MATCH(B$34,조편성!$D$13:$AH$13,0)))</f>
        <v/>
      </c>
      <c r="C36" s="1" t="str">
        <f>IF(MONTH(C$34)&lt;&gt;MONTH(DATE($G$2,$H$2,1)),"",INDEX(조편성!$D$15:$AH$15,MATCH(C$34,조편성!$D$13:$AH$13,0)))</f>
        <v>안성용</v>
      </c>
      <c r="D36" s="1" t="str">
        <f>IF(MONTH(D$34)&lt;&gt;MONTH(DATE($G$2,$H$2,1)),"",INDEX(조편성!$D$15:$AH$15,MATCH(D$34,조편성!$D$13:$AH$13,0)))</f>
        <v/>
      </c>
      <c r="E36" s="1" t="str">
        <f>IF(MONTH(E$34)&lt;&gt;MONTH(DATE($G$2,$H$2,1)),"",INDEX(조편성!$D$15:$AH$15,MATCH(E$34,조편성!$D$13:$AH$13,0)))</f>
        <v/>
      </c>
      <c r="F36" s="1" t="str">
        <f>IF(MONTH(F$34)&lt;&gt;MONTH(DATE($G$2,$H$2,1)),"",INDEX(조편성!$D$15:$AH$15,MATCH(F$34,조편성!$D$13:$AH$13,0)))</f>
        <v/>
      </c>
      <c r="G36" s="1" t="str">
        <f>IF(MONTH(G$34)&lt;&gt;MONTH(DATE($G$2,$H$2,1)),"",INDEX(조편성!$D$15:$AH$15,MATCH(G$34,조편성!$D$13:$AH$13,0)))</f>
        <v/>
      </c>
      <c r="H36" s="1" t="str">
        <f>IF(MONTH(H$34)&lt;&gt;MONTH(DATE($G$2,$H$2,1)),"",INDEX(조편성!$D$15:$AH$15,MATCH(H$34,조편성!$D$13:$AH$13,0)))</f>
        <v/>
      </c>
      <c r="I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s="7" customFormat="1" ht="16.2" customHeight="1" x14ac:dyDescent="0.25">
      <c r="A37" s="1" t="s">
        <v>27</v>
      </c>
      <c r="B37" s="1" t="str">
        <f>IF(MONTH(B$34)&lt;&gt;MONTH(DATE($G$2,$H$2,1)),"",INDEX(조편성!$D$16:$AH$16,MATCH(B$34,조편성!$D$13:$AH$13,0)))</f>
        <v>김제원</v>
      </c>
      <c r="C37" s="1" t="str">
        <f>IF(MONTH(C$34)&lt;&gt;MONTH(DATE($G$2,$H$2,1)),"",INDEX(조편성!$D$16:$AH$16,MATCH(C$34,조편성!$D$13:$AH$13,0)))</f>
        <v>김제원</v>
      </c>
      <c r="D37" s="1" t="str">
        <f>IF(MONTH(D$34)&lt;&gt;MONTH(DATE($G$2,$H$2,1)),"",INDEX(조편성!$D$16:$AH$16,MATCH(D$34,조편성!$D$13:$AH$13,0)))</f>
        <v/>
      </c>
      <c r="E37" s="1" t="str">
        <f>IF(MONTH(E$34)&lt;&gt;MONTH(DATE($G$2,$H$2,1)),"",INDEX(조편성!$D$16:$AH$16,MATCH(E$34,조편성!$D$13:$AH$13,0)))</f>
        <v/>
      </c>
      <c r="F37" s="1" t="str">
        <f>IF(MONTH(F$34)&lt;&gt;MONTH(DATE($G$2,$H$2,1)),"",INDEX(조편성!$D$16:$AH$16,MATCH(F$34,조편성!$D$13:$AH$13,0)))</f>
        <v/>
      </c>
      <c r="G37" s="1" t="str">
        <f>IF(MONTH(G$34)&lt;&gt;MONTH(DATE($G$2,$H$2,1)),"",INDEX(조편성!$D$16:$AH$16,MATCH(G$34,조편성!$D$13:$AH$13,0)))</f>
        <v/>
      </c>
      <c r="H37" s="1" t="str">
        <f>IF(MONTH(H$34)&lt;&gt;MONTH(DATE($G$2,$H$2,1)),"",INDEX(조편성!$D$16:$AH$16,MATCH(H$34,조편성!$D$13:$AH$13,0)))</f>
        <v/>
      </c>
    </row>
    <row r="38" spans="1:43" s="4" customFormat="1" ht="16.2" customHeight="1" x14ac:dyDescent="0.25">
      <c r="A38" s="1"/>
      <c r="B38" s="1" t="str">
        <f>IF(MONTH(B$34)&lt;&gt;MONTH(DATE($G$2,$H$2,1)),"",INDEX(조편성!$D$17:$AH$17,MATCH(B$34,조편성!$D$13:$AH$13,0)))</f>
        <v/>
      </c>
      <c r="C38" s="1" t="str">
        <f>IF(MONTH(C$34)&lt;&gt;MONTH(DATE($G$2,$H$2,1)),"",INDEX(조편성!$D$17:$AH$17,MATCH(C$34,조편성!$D$13:$AH$13,0)))</f>
        <v/>
      </c>
      <c r="D38" s="1" t="str">
        <f>IF(MONTH(D$34)&lt;&gt;MONTH(DATE($G$2,$H$2,1)),"",INDEX(조편성!$D$17:$AH$17,MATCH(D$34,조편성!$D$13:$AH$13,0)))</f>
        <v/>
      </c>
      <c r="E38" s="1" t="str">
        <f>IF(MONTH(E$34)&lt;&gt;MONTH(DATE($G$2,$H$2,1)),"",INDEX(조편성!$D$17:$AH$17,MATCH(E$34,조편성!$D$13:$AH$13,0)))</f>
        <v/>
      </c>
      <c r="F38" s="1" t="str">
        <f>IF(MONTH(F$34)&lt;&gt;MONTH(DATE($G$2,$H$2,1)),"",INDEX(조편성!$D$17:$AH$17,MATCH(F$34,조편성!$D$13:$AH$13,0)))</f>
        <v/>
      </c>
      <c r="G38" s="1" t="str">
        <f>IF(MONTH(G$34)&lt;&gt;MONTH(DATE($G$2,$H$2,1)),"",INDEX(조편성!$D$17:$AH$17,MATCH(G$34,조편성!$D$13:$AH$13,0)))</f>
        <v/>
      </c>
      <c r="H38" s="1" t="str">
        <f>IF(MONTH(H$34)&lt;&gt;MONTH(DATE($G$2,$H$2,1)),"",INDEX(조편성!$D$17:$AH$17,MATCH(H$34,조편성!$D$13:$AH$13,0)))</f>
        <v/>
      </c>
      <c r="I38" s="7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</row>
    <row r="39" spans="1:43" s="7" customFormat="1" ht="16.2" customHeight="1" x14ac:dyDescent="0.25">
      <c r="A39" s="1" t="s">
        <v>25</v>
      </c>
      <c r="B39" s="1" t="str">
        <f>IF(MONTH(B$34)&lt;&gt;MONTH(DATE($G$2,$H$2,1)),"",INDEX(조편성!$D20:$AH20,MATCH(B$34,조편성!$D$13:$AH$13,0)))</f>
        <v>한영희</v>
      </c>
      <c r="C39" s="1" t="str">
        <f>IF(MONTH(C$34)&lt;&gt;MONTH(DATE($G$2,$H$2,1)),"",INDEX(조편성!$D20:$AH20,MATCH(C$34,조편성!$D$13:$AH$13,0)))</f>
        <v>신대진</v>
      </c>
      <c r="D39" s="1" t="str">
        <f>IF(MONTH(D$34)&lt;&gt;MONTH(DATE($G$2,$H$2,1)),"",INDEX(조편성!$D20:$AH20,MATCH(D$34,조편성!$D$13:$AH$13,0)))</f>
        <v/>
      </c>
      <c r="E39" s="1" t="str">
        <f>IF(MONTH(E$34)&lt;&gt;MONTH(DATE($G$2,$H$2,1)),"",INDEX(조편성!$D20:$AH20,MATCH(E$34,조편성!$D$13:$AH$13,0)))</f>
        <v/>
      </c>
      <c r="F39" s="1" t="str">
        <f>IF(MONTH(F$34)&lt;&gt;MONTH(DATE($G$2,$H$2,1)),"",INDEX(조편성!$D20:$AH20,MATCH(F$34,조편성!$D$13:$AH$13,0)))</f>
        <v/>
      </c>
      <c r="G39" s="1" t="str">
        <f>IF(MONTH(G$34)&lt;&gt;MONTH(DATE($G$2,$H$2,1)),"",INDEX(조편성!$D20:$AH20,MATCH(G$34,조편성!$D$13:$AH$13,0)))</f>
        <v/>
      </c>
      <c r="H39" s="1" t="str">
        <f>IF(MONTH(H$34)&lt;&gt;MONTH(DATE($G$2,$H$2,1)),"",INDEX(조편성!$D20:$AH20,MATCH(H$34,조편성!$D$13:$AH$13,0)))</f>
        <v/>
      </c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</row>
  </sheetData>
  <sheetProtection selectLockedCells="1"/>
  <phoneticPr fontId="6" type="noConversion"/>
  <dataValidations disablePrompts="1" count="1">
    <dataValidation operator="equal" allowBlank="1" showInputMessage="1" showErrorMessage="1" sqref="B23:H27 B11:H15 B5:H9 B29:H33 B17:H21 B35:H39" xr:uid="{0DE76E18-AE71-4E89-88D6-815698195DE2}"/>
  </dataValidations>
  <pageMargins left="0.70866141732283472" right="0.70866141732283472" top="0.74803149606299213" bottom="0.74803149606299213" header="0.31496062992125984" footer="0.31496062992125984"/>
  <pageSetup paperSize="9" scale="7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A866B-0B91-4081-89F7-9D2773D954A4}">
  <dimension ref="A1:L23"/>
  <sheetViews>
    <sheetView topLeftCell="A10" workbookViewId="0">
      <selection activeCell="B19" sqref="B19"/>
    </sheetView>
  </sheetViews>
  <sheetFormatPr defaultRowHeight="13.2" x14ac:dyDescent="0.25"/>
  <sheetData>
    <row r="1" spans="1:12" x14ac:dyDescent="0.25">
      <c r="A1">
        <v>1</v>
      </c>
      <c r="B1" s="22" t="s">
        <v>66</v>
      </c>
    </row>
    <row r="2" spans="1:12" x14ac:dyDescent="0.25">
      <c r="A2">
        <v>2</v>
      </c>
      <c r="B2" s="22" t="s">
        <v>67</v>
      </c>
    </row>
    <row r="3" spans="1:12" x14ac:dyDescent="0.25">
      <c r="A3">
        <v>3</v>
      </c>
      <c r="B3" s="22" t="s">
        <v>68</v>
      </c>
    </row>
    <row r="4" spans="1:12" x14ac:dyDescent="0.25">
      <c r="A4">
        <v>4</v>
      </c>
      <c r="B4" s="22" t="s">
        <v>69</v>
      </c>
    </row>
    <row r="5" spans="1:12" x14ac:dyDescent="0.25">
      <c r="A5">
        <v>5</v>
      </c>
      <c r="B5" s="40" t="s">
        <v>70</v>
      </c>
    </row>
    <row r="6" spans="1:12" x14ac:dyDescent="0.25">
      <c r="A6">
        <v>6</v>
      </c>
      <c r="B6" s="40" t="s">
        <v>71</v>
      </c>
    </row>
    <row r="7" spans="1:12" x14ac:dyDescent="0.25">
      <c r="A7">
        <v>7</v>
      </c>
      <c r="B7" s="40" t="s">
        <v>72</v>
      </c>
    </row>
    <row r="10" spans="1:12" ht="15.6" x14ac:dyDescent="0.25">
      <c r="B10" s="73" t="s">
        <v>74</v>
      </c>
      <c r="C10" s="33"/>
      <c r="E10" s="290"/>
      <c r="F10" s="290"/>
      <c r="G10" s="290"/>
      <c r="H10" s="290"/>
      <c r="I10" s="265"/>
      <c r="J10" s="265"/>
      <c r="K10" s="265"/>
      <c r="L10" s="265"/>
    </row>
    <row r="11" spans="1:12" x14ac:dyDescent="0.25">
      <c r="A11">
        <v>1</v>
      </c>
      <c r="B11" s="182" t="s">
        <v>14</v>
      </c>
      <c r="E11" s="39"/>
      <c r="F11" s="39"/>
      <c r="G11" s="39"/>
      <c r="K11" s="19"/>
      <c r="L11" s="19"/>
    </row>
    <row r="12" spans="1:12" x14ac:dyDescent="0.25">
      <c r="A12">
        <v>2</v>
      </c>
      <c r="B12" s="182" t="s">
        <v>7</v>
      </c>
      <c r="E12" s="39"/>
      <c r="F12" s="39"/>
      <c r="G12" s="39"/>
      <c r="K12" s="19"/>
      <c r="L12" s="19"/>
    </row>
    <row r="13" spans="1:12" x14ac:dyDescent="0.25">
      <c r="A13">
        <v>3</v>
      </c>
      <c r="B13" s="182" t="s">
        <v>18</v>
      </c>
      <c r="E13" s="39"/>
      <c r="F13" s="39"/>
      <c r="G13" s="39"/>
      <c r="I13" s="19"/>
      <c r="J13" s="19"/>
      <c r="K13" s="19"/>
      <c r="L13" s="19"/>
    </row>
    <row r="14" spans="1:12" x14ac:dyDescent="0.25">
      <c r="A14">
        <v>4</v>
      </c>
      <c r="B14" s="182" t="s">
        <v>19</v>
      </c>
      <c r="E14" s="39"/>
      <c r="F14" s="39"/>
      <c r="G14" s="39"/>
      <c r="K14" s="19"/>
      <c r="L14" s="19"/>
    </row>
    <row r="15" spans="1:12" ht="15" x14ac:dyDescent="0.25">
      <c r="A15">
        <v>5</v>
      </c>
      <c r="B15" s="229" t="s">
        <v>127</v>
      </c>
      <c r="E15" s="39"/>
      <c r="F15" s="39"/>
      <c r="G15" s="39"/>
      <c r="K15" s="19"/>
      <c r="L15" s="19"/>
    </row>
    <row r="16" spans="1:12" ht="15" x14ac:dyDescent="0.25">
      <c r="A16">
        <v>6</v>
      </c>
      <c r="B16" s="229" t="s">
        <v>128</v>
      </c>
      <c r="E16" s="39"/>
      <c r="F16" s="39"/>
      <c r="G16" s="39"/>
      <c r="I16" s="19"/>
      <c r="K16" s="19"/>
      <c r="L16" s="19"/>
    </row>
    <row r="17" spans="1:12" ht="15" x14ac:dyDescent="0.25">
      <c r="A17">
        <v>7</v>
      </c>
      <c r="B17" s="229" t="s">
        <v>130</v>
      </c>
      <c r="E17" s="39"/>
      <c r="F17" s="39"/>
      <c r="G17" s="39"/>
      <c r="K17" s="19"/>
      <c r="L17" s="19"/>
    </row>
    <row r="18" spans="1:12" ht="15" x14ac:dyDescent="0.25">
      <c r="A18">
        <v>8</v>
      </c>
      <c r="B18" s="229" t="s">
        <v>135</v>
      </c>
      <c r="E18" s="39"/>
      <c r="F18" s="39"/>
      <c r="G18" s="39"/>
      <c r="K18" s="19"/>
      <c r="L18" s="19"/>
    </row>
    <row r="19" spans="1:12" x14ac:dyDescent="0.25">
      <c r="A19">
        <v>9</v>
      </c>
      <c r="B19" s="183" t="s">
        <v>109</v>
      </c>
      <c r="E19" s="39"/>
      <c r="F19" s="39"/>
      <c r="G19" s="39"/>
      <c r="K19" s="19"/>
      <c r="L19" s="19"/>
    </row>
    <row r="21" spans="1:12" ht="15.6" x14ac:dyDescent="0.25">
      <c r="A21">
        <v>1</v>
      </c>
      <c r="B21" s="119" t="s">
        <v>98</v>
      </c>
      <c r="C21" s="119" t="str">
        <f>조편성!C26</f>
        <v>장영대</v>
      </c>
      <c r="D21" s="119" t="str">
        <f>조편성!D26</f>
        <v>김대화</v>
      </c>
      <c r="E21" s="119" t="str">
        <f>조편성!C27</f>
        <v>안성용</v>
      </c>
      <c r="F21" s="119"/>
    </row>
    <row r="22" spans="1:12" ht="15.6" x14ac:dyDescent="0.25">
      <c r="A22">
        <v>2</v>
      </c>
      <c r="B22" s="120" t="s">
        <v>46</v>
      </c>
      <c r="C22" s="119" t="str">
        <f>조편성!C28</f>
        <v>오광웅</v>
      </c>
      <c r="D22" s="119" t="str">
        <f>조편성!D28</f>
        <v>김제원</v>
      </c>
      <c r="E22" s="119" t="str">
        <f>조편성!C29</f>
        <v>위선옥</v>
      </c>
      <c r="F22" s="119">
        <f>조편성!D29</f>
        <v>0</v>
      </c>
    </row>
    <row r="23" spans="1:12" ht="15.6" x14ac:dyDescent="0.25">
      <c r="A23">
        <v>3</v>
      </c>
      <c r="B23" s="120" t="s">
        <v>99</v>
      </c>
      <c r="C23" s="119" t="str">
        <f>조편성!C30</f>
        <v>한영희</v>
      </c>
      <c r="D23" s="119" t="str">
        <f>조편성!D30</f>
        <v>신대진</v>
      </c>
      <c r="E23" s="119"/>
      <c r="F23" s="119"/>
    </row>
  </sheetData>
  <sheetProtection sheet="1" objects="1" scenarios="1"/>
  <sortState xmlns:xlrd2="http://schemas.microsoft.com/office/spreadsheetml/2017/richdata2" ref="B11:B19">
    <sortCondition descending="1" ref="B10:B19"/>
  </sortState>
  <mergeCells count="3">
    <mergeCell ref="K10:L10"/>
    <mergeCell ref="E10:H10"/>
    <mergeCell ref="I10:J10"/>
  </mergeCells>
  <phoneticPr fontId="6" type="noConversion"/>
  <dataValidations disablePrompts="1" count="2">
    <dataValidation type="list" allowBlank="1" showInputMessage="1" showErrorMessage="1" sqref="I11:J19" xr:uid="{1475CB45-24A0-44F7-B947-C759F11D225E}">
      <formula1>요일</formula1>
    </dataValidation>
    <dataValidation type="list" allowBlank="1" showInputMessage="1" showErrorMessage="1" sqref="C11:C19" xr:uid="{A731A255-4366-43D5-96DA-00A69E4F2A30}">
      <formula1>조편성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19151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5</vt:i4>
      </vt:variant>
    </vt:vector>
  </HeadingPairs>
  <TitlesOfParts>
    <vt:vector size="16" baseType="lpstr">
      <vt:lpstr>초기작업4주(수동)</vt:lpstr>
      <vt:lpstr>휴무알조사</vt:lpstr>
      <vt:lpstr>초기작업6주용(수동)</vt:lpstr>
      <vt:lpstr>월총근무일과시간</vt:lpstr>
      <vt:lpstr>조편성</vt:lpstr>
      <vt:lpstr>휴무일추천</vt:lpstr>
      <vt:lpstr>휴무요일과특정일휴무</vt:lpstr>
      <vt:lpstr>4주용</vt:lpstr>
      <vt:lpstr>월근무표기초</vt:lpstr>
      <vt:lpstr>월근무표6주용</vt:lpstr>
      <vt:lpstr>이름기초</vt:lpstr>
      <vt:lpstr>성명</vt:lpstr>
      <vt:lpstr>요일</vt:lpstr>
      <vt:lpstr>월차처리</vt:lpstr>
      <vt:lpstr>이름</vt:lpstr>
      <vt:lpstr>조편성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mini</dc:creator>
  <cp:lastModifiedBy>광택 양</cp:lastModifiedBy>
  <cp:revision>758</cp:revision>
  <cp:lastPrinted>2025-03-08T09:25:27Z</cp:lastPrinted>
  <dcterms:created xsi:type="dcterms:W3CDTF">2021-06-25T12:00:25Z</dcterms:created>
  <dcterms:modified xsi:type="dcterms:W3CDTF">2025-03-08T09:40:10Z</dcterms:modified>
  <cp:version>1200.0100.01</cp:version>
</cp:coreProperties>
</file>